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 learning materials\"/>
    </mc:Choice>
  </mc:AlternateContent>
  <xr:revisionPtr revIDLastSave="0" documentId="13_ncr:1_{20F97AB6-E34E-46A5-A3A8-C62C2DF05E34}" xr6:coauthVersionLast="47" xr6:coauthVersionMax="47" xr10:uidLastSave="{00000000-0000-0000-0000-000000000000}"/>
  <bookViews>
    <workbookView xWindow="-120" yWindow="-120" windowWidth="20730" windowHeight="11040" activeTab="2" xr2:uid="{A6CDF66A-EDE0-4F47-B757-851BC3ECC7AB}"/>
  </bookViews>
  <sheets>
    <sheet name="Dataset" sheetId="1" r:id="rId1"/>
    <sheet name="Answers" sheetId="2" r:id="rId2"/>
    <sheet name="Medium Answers" sheetId="10" r:id="rId3"/>
  </sheets>
  <definedNames>
    <definedName name="_xlnm._FilterDatabase" localSheetId="0" hidden="1">Dataset!$A$1:$P$1</definedName>
    <definedName name="_xlchart.v1.0" hidden="1">Dataset!$AJ$2:$AJ$45</definedName>
  </definedNames>
  <calcPr calcId="191029"/>
  <pivotCaches>
    <pivotCache cacheId="17" r:id="rId4"/>
    <pivotCache cacheId="16" r:id="rId5"/>
    <pivotCache cacheId="2" r:id="rId6"/>
    <pivotCache cacheId="14" r:id="rId7"/>
    <pivotCache cacheId="21" r:id="rId8"/>
    <pivotCache cacheId="2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48" i="1" l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5" i="1"/>
  <c r="BJ4" i="1"/>
  <c r="BJ3" i="1"/>
  <c r="BJ2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H5" i="1"/>
  <c r="BH4" i="1"/>
  <c r="BH3" i="1"/>
  <c r="BH2" i="1"/>
  <c r="BC46" i="1"/>
  <c r="BD46" i="1" s="1"/>
  <c r="BC45" i="1"/>
  <c r="BD45" i="1" s="1"/>
  <c r="BC44" i="1"/>
  <c r="BC43" i="1"/>
  <c r="BD43" i="1" s="1"/>
  <c r="BC42" i="1"/>
  <c r="BD42" i="1" s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C5" i="1"/>
  <c r="BC4" i="1"/>
  <c r="BC3" i="1"/>
  <c r="BC2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5" i="1"/>
  <c r="BE4" i="1"/>
  <c r="BE3" i="1"/>
  <c r="BE2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3" i="1"/>
  <c r="AZ2" i="1"/>
  <c r="BD4" i="1" l="1"/>
  <c r="BD8" i="1"/>
  <c r="BD15" i="1"/>
  <c r="BD28" i="1"/>
  <c r="BD32" i="1"/>
  <c r="BD39" i="1"/>
  <c r="BD2" i="1"/>
  <c r="BD18" i="1"/>
  <c r="BD5" i="1"/>
  <c r="BD13" i="1"/>
  <c r="BD21" i="1"/>
  <c r="BD29" i="1"/>
  <c r="BD37" i="1"/>
  <c r="BD10" i="1"/>
  <c r="BD34" i="1"/>
  <c r="BD6" i="1"/>
  <c r="BD14" i="1"/>
  <c r="BD22" i="1"/>
  <c r="BD30" i="1"/>
  <c r="BD38" i="1"/>
  <c r="BD26" i="1"/>
  <c r="BD9" i="1"/>
  <c r="BD17" i="1"/>
  <c r="BD25" i="1"/>
  <c r="BD33" i="1"/>
  <c r="BD41" i="1"/>
  <c r="BD31" i="1"/>
  <c r="BD24" i="1"/>
  <c r="BD23" i="1"/>
  <c r="BD16" i="1"/>
  <c r="BD40" i="1"/>
  <c r="BD3" i="1"/>
  <c r="BD11" i="1"/>
  <c r="BD19" i="1"/>
  <c r="BD27" i="1"/>
  <c r="BD35" i="1"/>
  <c r="BD12" i="1"/>
  <c r="BD20" i="1"/>
  <c r="BD36" i="1"/>
  <c r="BD44" i="1"/>
  <c r="BD7" i="1"/>
  <c r="AJ3" i="1" l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2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46" i="1"/>
  <c r="W45" i="1"/>
  <c r="AG45" i="1" s="1"/>
  <c r="W44" i="1"/>
  <c r="AG44" i="1" s="1"/>
  <c r="W43" i="1"/>
  <c r="AG43" i="1" s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U5" i="1"/>
  <c r="U4" i="1"/>
  <c r="U3" i="1"/>
  <c r="U2" i="1"/>
  <c r="AB7" i="1" l="1"/>
  <c r="AG9" i="1"/>
  <c r="AG33" i="1"/>
  <c r="AG41" i="1"/>
  <c r="AG42" i="1"/>
  <c r="AG17" i="1"/>
  <c r="AG25" i="1"/>
  <c r="AG2" i="1"/>
  <c r="AG10" i="1"/>
  <c r="AG34" i="1"/>
  <c r="AB8" i="1"/>
  <c r="AG3" i="1"/>
  <c r="AG11" i="1"/>
  <c r="AG27" i="1"/>
  <c r="AG4" i="1"/>
  <c r="AG12" i="1"/>
  <c r="AG20" i="1"/>
  <c r="AG36" i="1"/>
  <c r="AG5" i="1"/>
  <c r="AG13" i="1"/>
  <c r="AG29" i="1"/>
  <c r="AG39" i="1"/>
  <c r="AB5" i="1"/>
  <c r="AG18" i="1"/>
  <c r="AG26" i="1"/>
  <c r="AG19" i="1"/>
  <c r="AG35" i="1"/>
  <c r="AG28" i="1"/>
  <c r="AB2" i="1"/>
  <c r="AG21" i="1"/>
  <c r="AG37" i="1"/>
  <c r="AB3" i="1"/>
  <c r="AG6" i="1"/>
  <c r="AG14" i="1"/>
  <c r="AG22" i="1"/>
  <c r="AG30" i="1"/>
  <c r="AG38" i="1"/>
  <c r="AB4" i="1"/>
  <c r="AG7" i="1"/>
  <c r="AG15" i="1"/>
  <c r="AG23" i="1"/>
  <c r="AG31" i="1"/>
  <c r="AG8" i="1"/>
  <c r="AG16" i="1"/>
  <c r="AG24" i="1"/>
  <c r="AG32" i="1"/>
  <c r="AG40" i="1"/>
  <c r="AB6" i="1"/>
</calcChain>
</file>

<file path=xl/sharedStrings.xml><?xml version="1.0" encoding="utf-8"?>
<sst xmlns="http://schemas.openxmlformats.org/spreadsheetml/2006/main" count="247" uniqueCount="114">
  <si>
    <t>created_at</t>
  </si>
  <si>
    <t>actual_delivery_time</t>
  </si>
  <si>
    <t>store_id</t>
  </si>
  <si>
    <t>store_primary_category</t>
  </si>
  <si>
    <t>order_protocol</t>
  </si>
  <si>
    <t>total_items</t>
  </si>
  <si>
    <t>subtotal</t>
  </si>
  <si>
    <t>num_distinct_items</t>
  </si>
  <si>
    <t>min_item_price</t>
  </si>
  <si>
    <t>max_item_price</t>
  </si>
  <si>
    <t>total_onshift_partners</t>
  </si>
  <si>
    <t>total_busy_partners</t>
  </si>
  <si>
    <t>total_outstanding_orders</t>
  </si>
  <si>
    <t>df263d996281d984952c07998dc54358</t>
  </si>
  <si>
    <t>american</t>
  </si>
  <si>
    <t>f0ade77b43923b38237db569b016ba25</t>
  </si>
  <si>
    <t>mexican</t>
  </si>
  <si>
    <t>indian</t>
  </si>
  <si>
    <t>ef1e491a766ce3127556063d49bc2f98</t>
  </si>
  <si>
    <t>italian</t>
  </si>
  <si>
    <t>ce016f59ecc2366a43e1c96a4774d167</t>
  </si>
  <si>
    <t>e8542a04d734d0cae36d648b3f519e5c</t>
  </si>
  <si>
    <t>50905d7b2216bfeccb5b41016357176b</t>
  </si>
  <si>
    <t>sandwich</t>
  </si>
  <si>
    <t>thai</t>
  </si>
  <si>
    <t>197e342c9fbad962dbe6d3322f723ca6</t>
  </si>
  <si>
    <t>cafe</t>
  </si>
  <si>
    <t>ea119a40c1592979f51819b0bd38d39d</t>
  </si>
  <si>
    <t>marker_id</t>
  </si>
  <si>
    <t>NA</t>
  </si>
  <si>
    <t>What is the distribution of order volumes across different markets ?</t>
  </si>
  <si>
    <t>Count of market</t>
  </si>
  <si>
    <t>Row Labels</t>
  </si>
  <si>
    <t>Grand Total</t>
  </si>
  <si>
    <t>Count of store_id</t>
  </si>
  <si>
    <t>Calculated by using Count function</t>
  </si>
  <si>
    <t>How does the average delivery time vary across different store primary categories ?</t>
  </si>
  <si>
    <t>Delivery Time(Minutes)</t>
  </si>
  <si>
    <t>Average of Delivery Time(Minutes)</t>
  </si>
  <si>
    <t>What are the peak hours for order placements ?</t>
  </si>
  <si>
    <t>Hrs extracted from created_at</t>
  </si>
  <si>
    <t>Number of Orders</t>
  </si>
  <si>
    <t>hours</t>
  </si>
  <si>
    <t xml:space="preserve">  </t>
  </si>
  <si>
    <t>Which days of the week see the highest order volume ?</t>
  </si>
  <si>
    <t>Day of Week</t>
  </si>
  <si>
    <t xml:space="preserve"> </t>
  </si>
  <si>
    <t>Monday</t>
  </si>
  <si>
    <t>Tuesday</t>
  </si>
  <si>
    <t>Wednesday</t>
  </si>
  <si>
    <t>Thursday</t>
  </si>
  <si>
    <t>Friday</t>
  </si>
  <si>
    <t>Saturday</t>
  </si>
  <si>
    <t>Sunday</t>
  </si>
  <si>
    <t>21-Jan</t>
  </si>
  <si>
    <t>22-Jan</t>
  </si>
  <si>
    <t>24-Jan</t>
  </si>
  <si>
    <t>25-Jan</t>
  </si>
  <si>
    <t>26-Jan</t>
  </si>
  <si>
    <t>27-Jan</t>
  </si>
  <si>
    <t>28-Jan</t>
  </si>
  <si>
    <t>30-Jan</t>
  </si>
  <si>
    <t>31-Jan</t>
  </si>
  <si>
    <t>2-Feb</t>
  </si>
  <si>
    <t>3-Feb</t>
  </si>
  <si>
    <t>6-Feb</t>
  </si>
  <si>
    <t>7-Feb</t>
  </si>
  <si>
    <t>8-Feb</t>
  </si>
  <si>
    <t>9-Feb</t>
  </si>
  <si>
    <t>10-Feb</t>
  </si>
  <si>
    <t>12-Feb</t>
  </si>
  <si>
    <t>13-Feb</t>
  </si>
  <si>
    <t>14-Feb</t>
  </si>
  <si>
    <t>15-Feb</t>
  </si>
  <si>
    <t>16-Feb</t>
  </si>
  <si>
    <t>17-Feb</t>
  </si>
  <si>
    <t>18-Feb</t>
  </si>
  <si>
    <t>Count of created_at</t>
  </si>
  <si>
    <t>Count of Orders by days</t>
  </si>
  <si>
    <t>What is the correlation between the number of items in an order and the subtotal ?</t>
  </si>
  <si>
    <t>Correlation of total_items and Subtototal</t>
  </si>
  <si>
    <t>answer is in dataset</t>
  </si>
  <si>
    <t>Analyze the distribution of delivery times. Are there notable outliers ?</t>
  </si>
  <si>
    <t>What percentage of orders are delivered within 30 minutes</t>
  </si>
  <si>
    <t>How do order volumes correlate with the number of busy partners</t>
  </si>
  <si>
    <t>What is the impact of the day of the week on average delivery time</t>
  </si>
  <si>
    <t xml:space="preserve">Identify the top 5 stores with the longest average delivery times </t>
  </si>
  <si>
    <t>Percentage of Order delivered in 30 mins.</t>
  </si>
  <si>
    <t>Calculated  time required to delivered in mins.</t>
  </si>
  <si>
    <t>Required time</t>
  </si>
  <si>
    <t>order Day</t>
  </si>
  <si>
    <t>Delivery Time(Mins)</t>
  </si>
  <si>
    <t>Average Delivery Time</t>
  </si>
  <si>
    <t>Average of Delivery Time(Mins)</t>
  </si>
  <si>
    <t xml:space="preserve">Evaluate the efficiency of different order protocols in terms of delivery time. </t>
  </si>
  <si>
    <t>(blank)</t>
  </si>
  <si>
    <t>How does the average order value vary by market ?</t>
  </si>
  <si>
    <t>Average of subtotal</t>
  </si>
  <si>
    <t>Average Subtotal</t>
  </si>
  <si>
    <t>unique marker_id</t>
  </si>
  <si>
    <t>What is the relationship between the number of on-shift partners and delivery times during peak hours ?</t>
  </si>
  <si>
    <t>Order Time</t>
  </si>
  <si>
    <t>Delivery time</t>
  </si>
  <si>
    <t>Diff of actual delivery time and Order time</t>
  </si>
  <si>
    <t>Later</t>
  </si>
  <si>
    <t xml:space="preserve">Determine the impact of total items and distinct items in an order on delivery time. </t>
  </si>
  <si>
    <t>Identify trends in delivery time fluctuations throughout the week</t>
  </si>
  <si>
    <t>Assesss the role of item price range in an order's total value.</t>
  </si>
  <si>
    <t>Difference of price range</t>
  </si>
  <si>
    <t>Price Range</t>
  </si>
  <si>
    <t>What effects does store primary category have on the likelihood of orders being above average value ?</t>
  </si>
  <si>
    <t>Explore the distribution of delivery times. Is there a significant variance within markets or categories.</t>
  </si>
  <si>
    <t>How does the availability of delivery partners (busy vs. on-shift) affect delivery times in different markets ?</t>
  </si>
  <si>
    <t>Compare first-time and repeat customer order patterns in terms of items and subtotal.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</si>
</sst>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[$-F400]h:mm:ss\ AM/PM"/>
    <numFmt numFmtId="166" formatCode="0.0"/>
    <numFmt numFmtId="168" formatCode="h:mm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3" fillId="4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3" borderId="0" xfId="0" applyFont="1" applyFill="1"/>
    <xf numFmtId="0" fontId="2" fillId="6" borderId="1" xfId="0" applyFont="1" applyFill="1" applyBorder="1" applyAlignment="1">
      <alignment horizontal="center"/>
    </xf>
    <xf numFmtId="0" fontId="0" fillId="6" borderId="0" xfId="0" applyFill="1"/>
    <xf numFmtId="0" fontId="0" fillId="0" borderId="9" xfId="0" applyBorder="1"/>
    <xf numFmtId="0" fontId="2" fillId="7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4" fillId="5" borderId="0" xfId="0" applyFont="1" applyFill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3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0" borderId="1" xfId="0" applyNumberFormat="1" applyBorder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/>
    <xf numFmtId="0" fontId="2" fillId="11" borderId="1" xfId="0" applyFont="1" applyFill="1" applyBorder="1" applyAlignment="1">
      <alignment horizontal="center"/>
    </xf>
    <xf numFmtId="0" fontId="0" fillId="11" borderId="0" xfId="0" applyFill="1"/>
    <xf numFmtId="0" fontId="0" fillId="11" borderId="1" xfId="0" applyFill="1" applyBorder="1"/>
    <xf numFmtId="0" fontId="3" fillId="11" borderId="1" xfId="0" applyFont="1" applyFill="1" applyBorder="1" applyAlignment="1">
      <alignment horizontal="center"/>
    </xf>
    <xf numFmtId="0" fontId="7" fillId="0" borderId="0" xfId="2"/>
    <xf numFmtId="165" fontId="0" fillId="0" borderId="0" xfId="0" applyNumberFormat="1"/>
    <xf numFmtId="165" fontId="3" fillId="7" borderId="1" xfId="0" applyNumberFormat="1" applyFont="1" applyFill="1" applyBorder="1" applyAlignment="1">
      <alignment horizontal="center" vertical="center"/>
    </xf>
    <xf numFmtId="166" fontId="1" fillId="7" borderId="0" xfId="0" applyNumberFormat="1" applyFont="1" applyFill="1" applyAlignment="1">
      <alignment horizontal="center"/>
    </xf>
    <xf numFmtId="9" fontId="0" fillId="8" borderId="0" xfId="1" applyFont="1" applyFill="1"/>
    <xf numFmtId="9" fontId="6" fillId="12" borderId="0" xfId="1" applyFont="1" applyFill="1"/>
    <xf numFmtId="9" fontId="1" fillId="0" borderId="0" xfId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2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2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1" fontId="0" fillId="0" borderId="0" xfId="0" applyNumberFormat="1" applyAlignment="1">
      <alignment horizontal="center"/>
    </xf>
    <xf numFmtId="166" fontId="0" fillId="0" borderId="0" xfId="0" applyNumberFormat="1"/>
    <xf numFmtId="166" fontId="1" fillId="11" borderId="0" xfId="0" applyNumberFormat="1" applyFont="1" applyFill="1" applyAlignment="1">
      <alignment horizontal="center"/>
    </xf>
    <xf numFmtId="0" fontId="0" fillId="0" borderId="0" xfId="0" applyFill="1" applyBorder="1" applyAlignment="1"/>
    <xf numFmtId="0" fontId="0" fillId="0" borderId="15" xfId="0" applyFill="1" applyBorder="1" applyAlignment="1"/>
    <xf numFmtId="0" fontId="8" fillId="0" borderId="16" xfId="0" applyFont="1" applyFill="1" applyBorder="1" applyAlignment="1">
      <alignment horizontal="center"/>
    </xf>
    <xf numFmtId="0" fontId="9" fillId="3" borderId="0" xfId="0" applyFont="1" applyFill="1"/>
    <xf numFmtId="0" fontId="0" fillId="2" borderId="0" xfId="0" applyFill="1"/>
    <xf numFmtId="0" fontId="10" fillId="13" borderId="1" xfId="0" applyFont="1" applyFill="1" applyBorder="1" applyAlignment="1">
      <alignment horizontal="center"/>
    </xf>
    <xf numFmtId="22" fontId="0" fillId="14" borderId="0" xfId="0" applyNumberFormat="1" applyFill="1" applyAlignment="1">
      <alignment horizontal="center"/>
    </xf>
    <xf numFmtId="22" fontId="0" fillId="5" borderId="0" xfId="0" applyNumberForma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  <xf numFmtId="0" fontId="11" fillId="16" borderId="1" xfId="0" applyFont="1" applyFill="1" applyBorder="1" applyAlignment="1">
      <alignment horizontal="center"/>
    </xf>
    <xf numFmtId="168" fontId="6" fillId="16" borderId="0" xfId="0" applyNumberFormat="1" applyFont="1" applyFill="1" applyAlignment="1">
      <alignment horizontal="center"/>
    </xf>
    <xf numFmtId="0" fontId="9" fillId="0" borderId="0" xfId="0" applyFont="1" applyFill="1"/>
    <xf numFmtId="0" fontId="11" fillId="17" borderId="1" xfId="0" applyFont="1" applyFill="1" applyBorder="1" applyAlignment="1">
      <alignment horizontal="center"/>
    </xf>
    <xf numFmtId="0" fontId="6" fillId="17" borderId="0" xfId="0" applyFont="1" applyFill="1" applyAlignment="1">
      <alignment horizontal="center"/>
    </xf>
    <xf numFmtId="0" fontId="1" fillId="0" borderId="1" xfId="0" pivotButton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dashed">
          <color indexed="64"/>
        </right>
      </border>
    </dxf>
    <dxf>
      <border>
        <right style="dashed">
          <color indexed="64"/>
        </right>
      </border>
    </dxf>
    <dxf>
      <border>
        <right style="dashed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F55C8C01-8AD1-4957-8E39-2CB69C7A46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[Porter Assignment.xlsx]Medium Answers!PivotTable9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'Medium Answers'!$E$80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'Medium Answers'!$D$81:$D$88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'Medium Answers'!$E$81:$E$88</c:f>
              <c:numCache>
                <c:formatCode>General</c:formatCode>
                <c:ptCount val="7"/>
                <c:pt idx="0">
                  <c:v>55.124999998370185</c:v>
                </c:pt>
                <c:pt idx="1">
                  <c:v>65.699942129322153</c:v>
                </c:pt>
                <c:pt idx="2">
                  <c:v>43.197048607908073</c:v>
                </c:pt>
                <c:pt idx="3">
                  <c:v>35.570370371278841</c:v>
                </c:pt>
                <c:pt idx="4">
                  <c:v>38.827314813097473</c:v>
                </c:pt>
                <c:pt idx="5">
                  <c:v>51.673611111473292</c:v>
                </c:pt>
                <c:pt idx="6">
                  <c:v>51.814043211601934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2-40AE-BBF2-AABDAD3FF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344192"/>
        <c:axId val="1680341312"/>
      </c:lineChart>
      <c:catAx>
        <c:axId val="168034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41312"/>
        <c:crosses val="autoZero"/>
        <c:auto val="1"/>
        <c:lblAlgn val="ctr"/>
        <c:lblOffset val="100"/>
        <c:noMultiLvlLbl val="0"/>
      </c:catAx>
      <c:valAx>
        <c:axId val="168034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34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552449</xdr:colOff>
      <xdr:row>78</xdr:row>
      <xdr:rowOff>142874</xdr:rowOff>
    </xdr:from>
    <xdr:to>
      <xdr:col>11</xdr:col>
      <xdr:colOff>381000</xdr:colOff>
      <xdr:row>91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B1C7A-6314-492F-83B9-FA58631C0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177.847591435187" createdVersion="8" refreshedVersion="8" minRefreshableVersion="3" recordCount="45" xr:uid="{4F8EBCDC-4886-4E11-AF96-2481DC070D2B}">
  <cacheSource type="worksheet">
    <worksheetSource ref="A1:P46" sheet="Dataset"/>
  </cacheSource>
  <cacheFields count="15">
    <cacheField name="marker_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created_at" numFmtId="22">
      <sharedItems containsSemiMixedTypes="0" containsNonDate="0" containsDate="1" containsString="0" minDate="2015-01-21T20:35:27" maxDate="2015-02-18T01:15:45" count="45">
        <d v="2015-02-06T22:24:17"/>
        <d v="2015-02-10T21:49:25"/>
        <d v="2015-01-22T20:39:28"/>
        <d v="2015-02-03T21:21:45"/>
        <d v="2015-02-15T02:40:36"/>
        <d v="2015-01-28T20:30:38"/>
        <d v="2015-01-31T02:16:36"/>
        <d v="2015-02-12T03:03:35"/>
        <d v="2015-02-16T00:11:35"/>
        <d v="2015-02-18T01:15:45"/>
        <d v="2015-02-02T19:22:53"/>
        <d v="2015-02-16T04:19:33"/>
        <d v="2015-02-07T01:34:31"/>
        <d v="2015-01-25T01:50:51"/>
        <d v="2015-02-12T03:36:46"/>
        <d v="2015-01-27T02:12:36"/>
        <d v="2015-02-06T00:42:42"/>
        <d v="2015-02-08T02:04:17"/>
        <d v="2015-01-31T04:35:54"/>
        <d v="2015-01-31T02:21:23"/>
        <d v="2015-01-31T23:45:12"/>
        <d v="2015-02-17T03:13:20"/>
        <d v="2015-02-15T01:26:20"/>
        <d v="2015-02-02T05:27:49"/>
        <d v="2015-02-16T02:21:20"/>
        <d v="2015-02-13T01:01:58"/>
        <d v="2015-01-24T02:01:20"/>
        <d v="2015-02-10T04:36:39"/>
        <d v="2015-01-26T02:09:48"/>
        <d v="2015-02-07T01:44:26"/>
        <d v="2015-01-30T01:43:09"/>
        <d v="2015-01-30T19:49:30"/>
        <d v="2015-01-28T20:33:04"/>
        <d v="2015-02-12T20:27:42"/>
        <d v="2015-01-28T21:37:38"/>
        <d v="2015-02-09T20:29:30"/>
        <d v="2015-01-21T20:35:27"/>
        <d v="2015-02-16T19:19:17"/>
        <d v="2015-01-27T20:26:19"/>
        <d v="2015-01-22T20:19:08"/>
        <d v="2015-02-10T20:05:17"/>
        <d v="2015-01-27T18:32:58"/>
        <d v="2015-02-07T01:36:34"/>
        <d v="2015-02-14T03:04:07"/>
        <d v="2015-02-08T02:50:54"/>
      </sharedItems>
      <fieldGroup par="14"/>
    </cacheField>
    <cacheField name="actual_delivery_time" numFmtId="22">
      <sharedItems containsSemiMixedTypes="0" containsNonDate="0" containsDate="1" containsString="0" minDate="2015-01-21T21:01:26" maxDate="2015-02-18T02:08:57"/>
    </cacheField>
    <cacheField name="store_id" numFmtId="0">
      <sharedItems/>
    </cacheField>
    <cacheField name="store_primary_category" numFmtId="0">
      <sharedItems/>
    </cacheField>
    <cacheField name="order_protocol" numFmtId="0">
      <sharedItems containsString="0" containsBlank="1" containsNumber="1" containsInteger="1" minValue="1" maxValue="5"/>
    </cacheField>
    <cacheField name="total_items" numFmtId="0">
      <sharedItems containsSemiMixedTypes="0" containsString="0" containsNumber="1" containsInteger="1" minValue="1" maxValue="8"/>
    </cacheField>
    <cacheField name="subtotal" numFmtId="0">
      <sharedItems containsSemiMixedTypes="0" containsString="0" containsNumber="1" containsInteger="1" minValue="595" maxValue="14900"/>
    </cacheField>
    <cacheField name="num_distinct_items" numFmtId="0">
      <sharedItems containsSemiMixedTypes="0" containsString="0" containsNumber="1" containsInteger="1" minValue="1" maxValue="6"/>
    </cacheField>
    <cacheField name="min_item_price" numFmtId="0">
      <sharedItems containsSemiMixedTypes="0" containsString="0" containsNumber="1" containsInteger="1" minValue="150" maxValue="1900"/>
    </cacheField>
    <cacheField name="max_item_price" numFmtId="0">
      <sharedItems containsSemiMixedTypes="0" containsString="0" containsNumber="1" containsInteger="1" minValue="295" maxValue="3900"/>
    </cacheField>
    <cacheField name="total_onshift_partners" numFmtId="0">
      <sharedItems containsSemiMixedTypes="0" containsString="0" containsNumber="1" containsInteger="1" minValue="1" maxValue="130"/>
    </cacheField>
    <cacheField name="total_busy_partners" numFmtId="0">
      <sharedItems containsSemiMixedTypes="0" containsString="0" containsNumber="1" containsInteger="1" minValue="0" maxValue="129"/>
    </cacheField>
    <cacheField name="total_outstanding_orders" numFmtId="0">
      <sharedItems containsSemiMixedTypes="0" containsString="0" containsNumber="1" containsInteger="1" minValue="0" maxValue="230"/>
    </cacheField>
    <cacheField name="Days (created_at)" numFmtId="0" databaseField="0">
      <fieldGroup base="1">
        <rangePr groupBy="days" startDate="2015-01-21T20:35:27" endDate="2015-02-18T01:15:45"/>
        <groupItems count="368">
          <s v="&lt;1/21/201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18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177.923918171298" createdVersion="8" refreshedVersion="8" minRefreshableVersion="3" recordCount="45" xr:uid="{2350A27D-6E94-4241-9DA3-FC36FA4D4CF4}">
  <cacheSource type="worksheet">
    <worksheetSource ref="A1:W46" sheet="Dataset"/>
  </cacheSource>
  <cacheFields count="21">
    <cacheField name="marker_id" numFmtId="0">
      <sharedItems containsSemiMixedTypes="0" containsString="0" containsNumber="1" containsInteger="1" minValue="1" maxValue="4"/>
    </cacheField>
    <cacheField name="created_at" numFmtId="22">
      <sharedItems containsSemiMixedTypes="0" containsNonDate="0" containsDate="1" containsString="0" minDate="2015-01-21T20:35:27" maxDate="2015-02-18T01:15:45"/>
    </cacheField>
    <cacheField name="actual_delivery_time" numFmtId="22">
      <sharedItems containsSemiMixedTypes="0" containsNonDate="0" containsDate="1" containsString="0" minDate="2015-01-21T21:01:26" maxDate="2015-02-18T02:08:57"/>
    </cacheField>
    <cacheField name="store_id" numFmtId="0">
      <sharedItems/>
    </cacheField>
    <cacheField name="store_primary_category" numFmtId="0">
      <sharedItems count="8">
        <s v="american"/>
        <s v="mexican"/>
        <s v="NA"/>
        <s v="indian"/>
        <s v="italian"/>
        <s v="sandwich"/>
        <s v="thai"/>
        <s v="cafe"/>
      </sharedItems>
    </cacheField>
    <cacheField name="order_protocol" numFmtId="0">
      <sharedItems containsString="0" containsBlank="1" containsNumber="1" containsInteger="1" minValue="1" maxValue="5" count="6">
        <n v="1"/>
        <n v="2"/>
        <n v="3"/>
        <n v="4"/>
        <m/>
        <n v="5"/>
      </sharedItems>
    </cacheField>
    <cacheField name="total_items" numFmtId="0">
      <sharedItems containsSemiMixedTypes="0" containsString="0" containsNumber="1" containsInteger="1" minValue="1" maxValue="8"/>
    </cacheField>
    <cacheField name="subtotal" numFmtId="0">
      <sharedItems containsSemiMixedTypes="0" containsString="0" containsNumber="1" containsInteger="1" minValue="595" maxValue="14900"/>
    </cacheField>
    <cacheField name="num_distinct_items" numFmtId="0">
      <sharedItems containsSemiMixedTypes="0" containsString="0" containsNumber="1" containsInteger="1" minValue="1" maxValue="6"/>
    </cacheField>
    <cacheField name="min_item_price" numFmtId="0">
      <sharedItems containsSemiMixedTypes="0" containsString="0" containsNumber="1" containsInteger="1" minValue="150" maxValue="1900"/>
    </cacheField>
    <cacheField name="max_item_price" numFmtId="0">
      <sharedItems containsSemiMixedTypes="0" containsString="0" containsNumber="1" containsInteger="1" minValue="295" maxValue="3900"/>
    </cacheField>
    <cacheField name="total_onshift_partners" numFmtId="0">
      <sharedItems containsSemiMixedTypes="0" containsString="0" containsNumber="1" containsInteger="1" minValue="1" maxValue="130"/>
    </cacheField>
    <cacheField name="total_busy_partners" numFmtId="0">
      <sharedItems containsSemiMixedTypes="0" containsString="0" containsNumber="1" containsInteger="1" minValue="0" maxValue="129"/>
    </cacheField>
    <cacheField name="total_outstanding_orders" numFmtId="0">
      <sharedItems containsSemiMixedTypes="0" containsString="0" containsNumber="1" containsInteger="1" minValue="0" maxValue="230"/>
    </cacheField>
    <cacheField name="Field15" caption="Field15" numFmtId="0">
      <sharedItems containsNonDate="0" containsString="0" containsBlank="1"/>
    </cacheField>
    <cacheField name="Field16" caption="Field16" numFmtId="0">
      <sharedItems containsBlank="1"/>
    </cacheField>
    <cacheField name="Field17" caption="Field17" numFmtId="0">
      <sharedItems containsBlank="1"/>
    </cacheField>
    <cacheField name="marker_id2" numFmtId="0">
      <sharedItems containsString="0" containsBlank="1" containsNumber="1" containsInteger="1" minValue="1" maxValue="4"/>
    </cacheField>
    <cacheField name="Count of market" numFmtId="0">
      <sharedItems containsString="0" containsBlank="1" containsNumber="1" containsInteger="1" minValue="3" maxValue="27"/>
    </cacheField>
    <cacheField name="Field20" caption="Field20" numFmtId="0">
      <sharedItems containsNonDate="0" containsString="0" containsBlank="1"/>
    </cacheField>
    <cacheField name="Delivery Time(Minutes)" numFmtId="0">
      <sharedItems containsSemiMixedTypes="0" containsString="0" containsNumber="1" minValue="25.261574071191717" maxValue="130.715277775016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177.932739236108" createdVersion="8" refreshedVersion="8" minRefreshableVersion="3" recordCount="45" xr:uid="{800E151A-D18E-49D7-AD15-8A9B530CF550}">
  <cacheSource type="worksheet">
    <worksheetSource ref="A1:X46" sheet="Dataset"/>
  </cacheSource>
  <cacheFields count="22">
    <cacheField name="marker_id" numFmtId="0">
      <sharedItems containsSemiMixedTypes="0" containsString="0" containsNumber="1" containsInteger="1" minValue="1" maxValue="4"/>
    </cacheField>
    <cacheField name="created_at" numFmtId="22">
      <sharedItems containsSemiMixedTypes="0" containsNonDate="0" containsDate="1" containsString="0" minDate="2015-01-21T20:35:27" maxDate="2015-02-18T01:15:45"/>
    </cacheField>
    <cacheField name="actual_delivery_time" numFmtId="22">
      <sharedItems containsSemiMixedTypes="0" containsNonDate="0" containsDate="1" containsString="0" minDate="2015-01-21T21:01:26" maxDate="2015-02-18T02:08:57"/>
    </cacheField>
    <cacheField name="store_id" numFmtId="0">
      <sharedItems/>
    </cacheField>
    <cacheField name="store_primary_category" numFmtId="0">
      <sharedItems/>
    </cacheField>
    <cacheField name="order_protocol" numFmtId="0">
      <sharedItems containsString="0" containsBlank="1" containsNumber="1" containsInteger="1" minValue="1" maxValue="5"/>
    </cacheField>
    <cacheField name="total_items" numFmtId="0">
      <sharedItems containsSemiMixedTypes="0" containsString="0" containsNumber="1" containsInteger="1" minValue="1" maxValue="8"/>
    </cacheField>
    <cacheField name="subtotal" numFmtId="0">
      <sharedItems containsSemiMixedTypes="0" containsString="0" containsNumber="1" containsInteger="1" minValue="595" maxValue="14900"/>
    </cacheField>
    <cacheField name="num_distinct_items" numFmtId="0">
      <sharedItems containsSemiMixedTypes="0" containsString="0" containsNumber="1" containsInteger="1" minValue="1" maxValue="6"/>
    </cacheField>
    <cacheField name="min_item_price" numFmtId="0">
      <sharedItems containsSemiMixedTypes="0" containsString="0" containsNumber="1" containsInteger="1" minValue="150" maxValue="1900"/>
    </cacheField>
    <cacheField name="max_item_price" numFmtId="0">
      <sharedItems containsSemiMixedTypes="0" containsString="0" containsNumber="1" containsInteger="1" minValue="295" maxValue="3900"/>
    </cacheField>
    <cacheField name="total_onshift_partners" numFmtId="0">
      <sharedItems containsSemiMixedTypes="0" containsString="0" containsNumber="1" containsInteger="1" minValue="1" maxValue="130"/>
    </cacheField>
    <cacheField name="total_busy_partners" numFmtId="0">
      <sharedItems containsSemiMixedTypes="0" containsString="0" containsNumber="1" containsInteger="1" minValue="0" maxValue="129"/>
    </cacheField>
    <cacheField name="total_outstanding_orders" numFmtId="0">
      <sharedItems containsSemiMixedTypes="0" containsString="0" containsNumber="1" containsInteger="1" minValue="0" maxValue="230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marker_id2" numFmtId="0">
      <sharedItems containsString="0" containsBlank="1" containsNumber="1" containsInteger="1" minValue="1" maxValue="4"/>
    </cacheField>
    <cacheField name="Count of market" numFmtId="0">
      <sharedItems containsString="0" containsBlank="1" containsNumber="1" containsInteger="1" minValue="3" maxValue="27"/>
    </cacheField>
    <cacheField name="Field20" caption="Field20" numFmtId="0">
      <sharedItems containsNonDate="0" containsString="0" containsBlank="1"/>
    </cacheField>
    <cacheField name="Delivery Time(Minutes)" numFmtId="0">
      <sharedItems containsSemiMixedTypes="0" containsString="0" containsNumber="1" minValue="25.261574071191717" maxValue="130.71527777501615"/>
    </cacheField>
    <cacheField name="Hrs extracted from created_at" numFmtId="0">
      <sharedItems containsSemiMixedTypes="0" containsString="0" containsNumber="1" containsInteger="1" minValue="0" maxValue="23" count="12">
        <n v="22"/>
        <n v="21"/>
        <n v="20"/>
        <n v="2"/>
        <n v="3"/>
        <n v="0"/>
        <n v="1"/>
        <n v="19"/>
        <n v="4"/>
        <n v="23"/>
        <n v="5"/>
        <n v="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181.518071412036" createdVersion="8" refreshedVersion="8" minRefreshableVersion="3" recordCount="45" xr:uid="{E55BE53D-7197-4EAD-96B8-5C0031CAC49C}">
  <cacheSource type="worksheet">
    <worksheetSource ref="A1:BE46" sheet="Dataset"/>
  </cacheSource>
  <cacheFields count="55">
    <cacheField name="marker_id" numFmtId="0">
      <sharedItems containsSemiMixedTypes="0" containsString="0" containsNumber="1" containsInteger="1" minValue="1" maxValue="4"/>
    </cacheField>
    <cacheField name="created_at" numFmtId="22">
      <sharedItems containsSemiMixedTypes="0" containsNonDate="0" containsDate="1" containsString="0" minDate="2015-01-21T20:35:27" maxDate="2015-02-18T01:15:45"/>
    </cacheField>
    <cacheField name="actual_delivery_time" numFmtId="22">
      <sharedItems containsSemiMixedTypes="0" containsNonDate="0" containsDate="1" containsString="0" minDate="2015-01-21T21:01:26" maxDate="2015-02-18T02:08:57"/>
    </cacheField>
    <cacheField name="store_id" numFmtId="0">
      <sharedItems count="8">
        <s v="50905d7b2216bfeccb5b41016357176b"/>
        <s v="f0ade77b43923b38237db569b016ba25"/>
        <s v="e8542a04d734d0cae36d648b3f519e5c"/>
        <s v="ef1e491a766ce3127556063d49bc2f98"/>
        <s v="197e342c9fbad962dbe6d3322f723ca6"/>
        <s v="ce016f59ecc2366a43e1c96a4774d167"/>
        <s v="df263d996281d984952c07998dc54358"/>
        <s v="ea119a40c1592979f51819b0bd38d39d"/>
      </sharedItems>
    </cacheField>
    <cacheField name="store_primary_category" numFmtId="0">
      <sharedItems count="8">
        <s v="NA"/>
        <s v="italian"/>
        <s v="cafe"/>
        <s v="sandwich"/>
        <s v="mexican"/>
        <s v="american"/>
        <s v="thai"/>
        <s v="indian"/>
      </sharedItems>
    </cacheField>
    <cacheField name="order_protocol" numFmtId="0">
      <sharedItems containsString="0" containsBlank="1" containsNumber="1" containsInteger="1" minValue="1" maxValue="5"/>
    </cacheField>
    <cacheField name="total_items" numFmtId="0">
      <sharedItems containsSemiMixedTypes="0" containsString="0" containsNumber="1" containsInteger="1" minValue="1" maxValue="8"/>
    </cacheField>
    <cacheField name="subtotal" numFmtId="0">
      <sharedItems containsSemiMixedTypes="0" containsString="0" containsNumber="1" containsInteger="1" minValue="595" maxValue="14900"/>
    </cacheField>
    <cacheField name="num_distinct_items" numFmtId="0">
      <sharedItems containsSemiMixedTypes="0" containsString="0" containsNumber="1" containsInteger="1" minValue="1" maxValue="6"/>
    </cacheField>
    <cacheField name="min_item_price" numFmtId="0">
      <sharedItems containsSemiMixedTypes="0" containsString="0" containsNumber="1" containsInteger="1" minValue="150" maxValue="1900"/>
    </cacheField>
    <cacheField name="max_item_price" numFmtId="0">
      <sharedItems containsSemiMixedTypes="0" containsString="0" containsNumber="1" containsInteger="1" minValue="295" maxValue="3900"/>
    </cacheField>
    <cacheField name="total_onshift_partners" numFmtId="0">
      <sharedItems containsSemiMixedTypes="0" containsString="0" containsNumber="1" containsInteger="1" minValue="1" maxValue="130"/>
    </cacheField>
    <cacheField name="total_busy_partners" numFmtId="0">
      <sharedItems containsSemiMixedTypes="0" containsString="0" containsNumber="1" containsInteger="1" minValue="0" maxValue="129"/>
    </cacheField>
    <cacheField name="total_outstanding_orders" numFmtId="0">
      <sharedItems containsSemiMixedTypes="0" containsString="0" containsNumber="1" containsInteger="1" minValue="0" maxValue="230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marker_id2" numFmtId="0">
      <sharedItems containsString="0" containsBlank="1" containsNumber="1" containsInteger="1" minValue="1" maxValue="4"/>
    </cacheField>
    <cacheField name="Count of market" numFmtId="0">
      <sharedItems containsString="0" containsBlank="1" containsNumber="1" containsInteger="1" minValue="3" maxValue="27"/>
    </cacheField>
    <cacheField name="Field20" caption="Field20" numFmtId="0">
      <sharedItems containsNonDate="0" containsString="0" containsBlank="1"/>
    </cacheField>
    <cacheField name="Delivery Time(Minutes)" numFmtId="0">
      <sharedItems containsSemiMixedTypes="0" containsString="0" containsNumber="1" minValue="25.261574071191717" maxValue="130.71527777501615"/>
    </cacheField>
    <cacheField name="Hrs extracted from created_at" numFmtId="0">
      <sharedItems containsSemiMixedTypes="0" containsString="0" containsNumber="1" containsInteger="1" minValue="0" maxValue="23"/>
    </cacheField>
    <cacheField name="Field23" caption="Field23" numFmtId="0">
      <sharedItems containsNonDate="0" containsString="0" containsBlank="1"/>
    </cacheField>
    <cacheField name="Day of Week" numFmtId="0">
      <sharedItems/>
    </cacheField>
    <cacheField name="Field25" caption="Field25" numFmtId="0">
      <sharedItems containsBlank="1"/>
    </cacheField>
    <cacheField name="Count of Orders by days" numFmtId="0">
      <sharedItems containsString="0" containsBlank="1" containsNumber="1" containsInteger="1" minValue="3" maxValue="8"/>
    </cacheField>
    <cacheField name="Field27" caption="Field27" numFmtId="0">
      <sharedItems containsNonDate="0" containsString="0" containsBlank="1"/>
    </cacheField>
    <cacheField name="Correlation of total_items and Subtototal" numFmtId="0">
      <sharedItems containsString="0" containsBlank="1" containsNumber="1" minValue="0.77954349290164582" maxValue="0.96851699906665789"/>
    </cacheField>
    <cacheField name="Field29" caption="Field29" numFmtId="0">
      <sharedItems containsNonDate="0" containsString="0" containsBlank="1"/>
    </cacheField>
    <cacheField name="Calculated  time required to delivered in mins." numFmtId="0">
      <sharedItems containsString="0" containsBlank="1" containsNumber="1" minValue="-134.44999999715947" maxValue="-25.983333330368623"/>
    </cacheField>
    <cacheField name="Percentage of Order delivered in 30 mins." numFmtId="0">
      <sharedItems containsString="0" containsBlank="1" containsNumber="1" minValue="0" maxValue="0.16666666666666666"/>
    </cacheField>
    <cacheField name="Field32" caption="Field32" numFmtId="0">
      <sharedItems containsNonDate="0" containsString="0" containsBlank="1"/>
    </cacheField>
    <cacheField name="Field33" caption="Field33" numFmtId="0">
      <sharedItems containsBlank="1"/>
    </cacheField>
    <cacheField name="Field34" caption="Field34" numFmtId="0">
      <sharedItems containsString="0" containsBlank="1" containsNumber="1" minValue="0.14759562160166309" maxValue="1"/>
    </cacheField>
    <cacheField name="Field35" caption="Field35" numFmtId="0">
      <sharedItems containsNonDate="0" containsString="0" containsBlank="1"/>
    </cacheField>
    <cacheField name="Field36" caption="Field36" numFmtId="0">
      <sharedItems containsNonDate="0" containsString="0" containsBlank="1"/>
    </cacheField>
    <cacheField name="Field37" caption="Field37" numFmtId="0">
      <sharedItems containsNonDate="0" containsString="0" containsBlank="1"/>
    </cacheField>
    <cacheField name="Field38" caption="Field38" numFmtId="0">
      <sharedItems containsNonDate="0" containsString="0" containsBlank="1"/>
    </cacheField>
    <cacheField name="Field39" caption="Field39" numFmtId="0">
      <sharedItems containsNonDate="0" containsString="0" containsBlank="1"/>
    </cacheField>
    <cacheField name="total_items2" numFmtId="0">
      <sharedItems containsSemiMixedTypes="0" containsString="0" containsNumber="1" containsInteger="1" minValue="1" maxValue="8"/>
    </cacheField>
    <cacheField name="subtotal2" numFmtId="0">
      <sharedItems containsSemiMixedTypes="0" containsString="0" containsNumber="1" containsInteger="1" minValue="595" maxValue="14900"/>
    </cacheField>
    <cacheField name="Field42" caption="Field42" numFmtId="0">
      <sharedItems containsNonDate="0" containsString="0" containsBlank="1"/>
    </cacheField>
    <cacheField name="Field43" caption="Field43" numFmtId="0">
      <sharedItems containsNonDate="0" containsString="0" containsBlank="1"/>
    </cacheField>
    <cacheField name="Field44" caption="Field44" numFmtId="0">
      <sharedItems containsBlank="1"/>
    </cacheField>
    <cacheField name="Field45" caption="Field45" numFmtId="0">
      <sharedItems containsBlank="1" containsMixedTypes="1" containsNumber="1" minValue="0.78369900049790797" maxValue="1"/>
    </cacheField>
    <cacheField name="Field46" caption="Field46" numFmtId="0">
      <sharedItems containsBlank="1" containsMixedTypes="1" containsNumber="1" containsInteger="1" minValue="1" maxValue="1"/>
    </cacheField>
    <cacheField name="Field47" caption="Field47" numFmtId="0">
      <sharedItems containsNonDate="0" containsString="0" containsBlank="1"/>
    </cacheField>
    <cacheField name="Field48" caption="Field48" numFmtId="0">
      <sharedItems containsNonDate="0" containsString="0" containsBlank="1"/>
    </cacheField>
    <cacheField name="Field49" caption="Field49" numFmtId="0">
      <sharedItems containsNonDate="0" containsString="0" containsBlank="1"/>
    </cacheField>
    <cacheField name="Field50" caption="Field50" numFmtId="0">
      <sharedItems containsSemiMixedTypes="0" containsString="0" containsNumber="1" containsInteger="1" minValue="1" maxValue="45"/>
    </cacheField>
    <cacheField name="Field51" caption="Field51" numFmtId="0">
      <sharedItems containsNonDate="0" containsString="0" containsBlank="1"/>
    </cacheField>
    <cacheField name="Field52" caption="Field52" numFmtId="0">
      <sharedItems containsNonDate="0" containsString="0" containsBlank="1"/>
    </cacheField>
    <cacheField name="Delivery Time(Mins)" numFmtId="0">
      <sharedItems containsSemiMixedTypes="0" containsString="0" containsNumber="1" minValue="25.983333330368623" maxValue="134.44999999715947" count="45">
        <n v="25.983333330368623"/>
        <n v="48.583333332790062"/>
        <n v="29.683333336142823"/>
        <n v="44.883333337493241"/>
        <n v="38.033333328785375"/>
        <n v="37.566666668280959"/>
        <n v="49.79999999050051"/>
        <n v="29.183333334513009"/>
        <n v="37.56666665780358"/>
        <n v="38.333333336049691"/>
        <n v="31.166666670469567"/>
        <n v="34.250000001629815"/>
        <n v="37.54999999771826"/>
        <n v="39.249999996973202"/>
        <n v="26.400000000139698"/>
        <n v="50.316666662693024"/>
        <n v="71.600000004982576"/>
        <n v="28.883333337726071"/>
        <n v="97.333333329297602"/>
        <n v="46.433333333116025"/>
        <n v="51.249999994179234"/>
        <n v="87.783333339029923"/>
        <n v="62.983333325246349"/>
        <n v="42.716666667256504"/>
        <n v="69.883333335164934"/>
        <n v="63.66666667163372"/>
        <n v="82.933333336841315"/>
        <n v="72.916666665114462"/>
        <n v="48.066666671074927"/>
        <n v="43.966666666092351"/>
        <n v="29.433333330089226"/>
        <n v="67.066666670143604"/>
        <n v="32.749999996740371"/>
        <n v="37.883333325153217"/>
        <n v="50.783333333674818"/>
        <n v="38.183333342894912"/>
        <n v="81.299999998882413"/>
        <n v="49.783333330415189"/>
        <n v="39.833333330461755"/>
        <n v="26.433333330787718"/>
        <n v="92.899999996880069"/>
        <n v="134.44999999715947"/>
        <n v="57.433333337539807"/>
        <n v="47.183333330322057"/>
        <n v="53.199999999487773"/>
      </sharedItems>
    </cacheField>
    <cacheField name="Average Delivery Time" numFmtId="0">
      <sharedItems containsSemiMixedTypes="0" containsString="0" containsNumber="1" minValue="50.191666664904915" maxValue="77.033333332277834"/>
    </cacheField>
    <cacheField name="order Day" numFmtId="0">
      <sharedItems count="7">
        <s v="Wednesday"/>
        <s v="Thursday"/>
        <s v="Saturday"/>
        <s v="Sunday"/>
        <s v="Monday"/>
        <s v="Tuesday"/>
        <s v="Fri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181.785538194446" createdVersion="8" refreshedVersion="8" minRefreshableVersion="3" recordCount="45" xr:uid="{A9791C86-4C21-45A4-AC42-0359853C608D}">
  <cacheSource type="worksheet">
    <worksheetSource ref="A1:BH46" sheet="Dataset"/>
  </cacheSource>
  <cacheFields count="60">
    <cacheField name="marker_id" numFmtId="0">
      <sharedItems containsSemiMixedTypes="0" containsString="0" containsNumber="1" containsInteger="1" minValue="1" maxValue="4"/>
    </cacheField>
    <cacheField name="created_at" numFmtId="22">
      <sharedItems containsSemiMixedTypes="0" containsNonDate="0" containsDate="1" containsString="0" minDate="2015-01-21T20:35:27" maxDate="2015-02-18T01:15:45"/>
    </cacheField>
    <cacheField name="Order Time" numFmtId="168">
      <sharedItems containsSemiMixedTypes="0" containsNonDate="0" containsDate="1" containsString="0" minDate="1899-12-30T00:11:35" maxDate="1899-12-30T23:45:12"/>
    </cacheField>
    <cacheField name="actual_delivery_time" numFmtId="22">
      <sharedItems containsSemiMixedTypes="0" containsNonDate="0" containsDate="1" containsString="0" minDate="2015-01-21T21:01:26" maxDate="2015-02-18T02:08:57"/>
    </cacheField>
    <cacheField name="Delivery time" numFmtId="168">
      <sharedItems containsSemiMixedTypes="0" containsNonDate="0" containsDate="1" containsString="0" minDate="1899-12-30T00:14:05" maxDate="1899-12-30T23:27:16"/>
    </cacheField>
    <cacheField name="store_id" numFmtId="0">
      <sharedItems/>
    </cacheField>
    <cacheField name="store_primary_category" numFmtId="0">
      <sharedItems/>
    </cacheField>
    <cacheField name="order_protocol" numFmtId="0">
      <sharedItems containsString="0" containsBlank="1" containsNumber="1" containsInteger="1" minValue="1" maxValue="5"/>
    </cacheField>
    <cacheField name="total_items" numFmtId="0">
      <sharedItems containsSemiMixedTypes="0" containsString="0" containsNumber="1" containsInteger="1" minValue="1" maxValue="8"/>
    </cacheField>
    <cacheField name="subtotal" numFmtId="0">
      <sharedItems containsSemiMixedTypes="0" containsString="0" containsNumber="1" containsInteger="1" minValue="595" maxValue="14900"/>
    </cacheField>
    <cacheField name="num_distinct_items" numFmtId="0">
      <sharedItems containsSemiMixedTypes="0" containsString="0" containsNumber="1" containsInteger="1" minValue="1" maxValue="6"/>
    </cacheField>
    <cacheField name="min_item_price" numFmtId="0">
      <sharedItems containsSemiMixedTypes="0" containsString="0" containsNumber="1" containsInteger="1" minValue="150" maxValue="1900"/>
    </cacheField>
    <cacheField name="max_item_price" numFmtId="0">
      <sharedItems containsSemiMixedTypes="0" containsString="0" containsNumber="1" containsInteger="1" minValue="295" maxValue="3900"/>
    </cacheField>
    <cacheField name="total_onshift_partners" numFmtId="0">
      <sharedItems containsSemiMixedTypes="0" containsString="0" containsNumber="1" containsInteger="1" minValue="1" maxValue="130"/>
    </cacheField>
    <cacheField name="total_busy_partners" numFmtId="0">
      <sharedItems containsSemiMixedTypes="0" containsString="0" containsNumber="1" containsInteger="1" minValue="0" maxValue="129"/>
    </cacheField>
    <cacheField name="total_outstanding_orders" numFmtId="0">
      <sharedItems containsSemiMixedTypes="0" containsString="0" containsNumber="1" containsInteger="1" minValue="0" maxValue="230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marker_id2" numFmtId="0">
      <sharedItems containsString="0" containsBlank="1" containsNumber="1" containsInteger="1" minValue="1" maxValue="4"/>
    </cacheField>
    <cacheField name="Count of market" numFmtId="0">
      <sharedItems containsString="0" containsBlank="1" containsNumber="1" containsInteger="1" minValue="3" maxValue="27"/>
    </cacheField>
    <cacheField name="Field22" caption="Field22" numFmtId="0">
      <sharedItems containsNonDate="0" containsString="0" containsBlank="1"/>
    </cacheField>
    <cacheField name="Delivery Time(Minutes)" numFmtId="0">
      <sharedItems containsSemiMixedTypes="0" containsString="0" containsNumber="1" minValue="25.261574071191717" maxValue="130.71527777501615"/>
    </cacheField>
    <cacheField name="Hrs extracted from created_at" numFmtId="0">
      <sharedItems containsSemiMixedTypes="0" containsString="0" containsNumber="1" containsInteger="1" minValue="0" maxValue="23"/>
    </cacheField>
    <cacheField name="Field25" caption="Field25" numFmtId="0">
      <sharedItems containsNonDate="0" containsString="0" containsBlank="1"/>
    </cacheField>
    <cacheField name="Day of Week" numFmtId="0">
      <sharedItems count="7">
        <s v="Wednesday"/>
        <s v="Thursday"/>
        <s v="Saturday"/>
        <s v="Sunday"/>
        <s v="Monday"/>
        <s v="Tuesday"/>
        <s v="Friday"/>
      </sharedItems>
    </cacheField>
    <cacheField name="Field27" caption="Field27" numFmtId="0">
      <sharedItems containsBlank="1"/>
    </cacheField>
    <cacheField name="Count of Orders by days" numFmtId="0">
      <sharedItems containsString="0" containsBlank="1" containsNumber="1" containsInteger="1" minValue="3" maxValue="8"/>
    </cacheField>
    <cacheField name="Field29" caption="Field29" numFmtId="0">
      <sharedItems containsNonDate="0" containsString="0" containsBlank="1"/>
    </cacheField>
    <cacheField name="Correlation of total_items and Subtototal" numFmtId="0">
      <sharedItems containsString="0" containsBlank="1" containsNumber="1" minValue="0.77954349290164582" maxValue="0.96851699906665789"/>
    </cacheField>
    <cacheField name="Field31" caption="Field31" numFmtId="0">
      <sharedItems containsNonDate="0" containsString="0" containsBlank="1"/>
    </cacheField>
    <cacheField name="Calculated  time required to delivered in mins." numFmtId="0">
      <sharedItems containsString="0" containsBlank="1" containsNumber="1" minValue="-134.44999999715947" maxValue="-25.983333330368623"/>
    </cacheField>
    <cacheField name="Percentage of Order delivered in 30 mins." numFmtId="0">
      <sharedItems containsString="0" containsBlank="1" containsNumber="1" minValue="0" maxValue="0.16666666666666666"/>
    </cacheField>
    <cacheField name="Field34" caption="Field34" numFmtId="0">
      <sharedItems containsNonDate="0" containsString="0" containsBlank="1"/>
    </cacheField>
    <cacheField name="Field35" caption="Field35" numFmtId="0">
      <sharedItems containsBlank="1"/>
    </cacheField>
    <cacheField name="Field36" caption="Field36" numFmtId="0">
      <sharedItems containsString="0" containsBlank="1" containsNumber="1" minValue="0.14759562160166309" maxValue="1"/>
    </cacheField>
    <cacheField name="Field37" caption="Field37" numFmtId="0">
      <sharedItems containsNonDate="0" containsString="0" containsBlank="1"/>
    </cacheField>
    <cacheField name="Diff of actual delivery time and Order time" numFmtId="0">
      <sharedItems containsDate="1" containsString="0" containsBlank="1" containsMixedTypes="1" minDate="1900-01-03T23:02:11" maxDate="1899-12-30T02:14:27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total_items2" numFmtId="0">
      <sharedItems containsSemiMixedTypes="0" containsString="0" containsNumber="1" containsInteger="1" minValue="1" maxValue="8"/>
    </cacheField>
    <cacheField name="subtotal2" numFmtId="0">
      <sharedItems containsSemiMixedTypes="0" containsString="0" containsNumber="1" containsInteger="1" minValue="595" maxValue="14900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Blank="1"/>
    </cacheField>
    <cacheField name="Field47" caption="Field47" numFmtId="0">
      <sharedItems containsBlank="1" containsMixedTypes="1" containsNumber="1" minValue="0.78369900049790797" maxValue="1"/>
    </cacheField>
    <cacheField name="Field48" caption="Field48" numFmtId="0">
      <sharedItems containsBlank="1" containsMixedTypes="1" containsNumber="1" containsInteger="1" minValue="1" maxValue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SemiMixedTypes="0" containsString="0" containsNumber="1" containsInteger="1" minValue="1" maxValue="45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Delivery Time(Mins)" numFmtId="0">
      <sharedItems containsSemiMixedTypes="0" containsString="0" containsNumber="1" minValue="25.983333330368623" maxValue="134.44999999715947"/>
    </cacheField>
    <cacheField name="Average Delivery Time" numFmtId="0">
      <sharedItems containsSemiMixedTypes="0" containsString="0" containsNumber="1" minValue="50.191666664904915" maxValue="77.033333332277834"/>
    </cacheField>
    <cacheField name="order Day" numFmtId="0">
      <sharedItems/>
    </cacheField>
    <cacheField name="Field58" caption="Field58" numFmtId="0">
      <sharedItems containsNonDate="0" containsString="0" containsBlank="1"/>
    </cacheField>
    <cacheField name="unique marker_id" numFmtId="0">
      <sharedItems containsString="0" containsBlank="1" containsNumber="1" containsInteger="1" minValue="1" maxValue="4"/>
    </cacheField>
    <cacheField name="Average Subtotal" numFmtId="0">
      <sharedItems containsString="0" containsBlank="1" containsNumber="1" minValue="2630.3333333333335" maxValue="6001.333333333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y Kulkarni" refreshedDate="46181.804840509256" createdVersion="8" refreshedVersion="8" minRefreshableVersion="3" recordCount="45" xr:uid="{7374EE03-0651-480A-9121-0954B58F308A}">
  <cacheSource type="worksheet">
    <worksheetSource ref="A1:BJ46" sheet="Dataset"/>
  </cacheSource>
  <cacheFields count="62">
    <cacheField name="marker_id" numFmtId="0">
      <sharedItems containsSemiMixedTypes="0" containsString="0" containsNumber="1" containsInteger="1" minValue="1" maxValue="4"/>
    </cacheField>
    <cacheField name="created_at" numFmtId="22">
      <sharedItems containsSemiMixedTypes="0" containsNonDate="0" containsDate="1" containsString="0" minDate="2015-01-21T20:35:27" maxDate="2015-02-18T01:15:45"/>
    </cacheField>
    <cacheField name="Order Time" numFmtId="168">
      <sharedItems containsSemiMixedTypes="0" containsNonDate="0" containsDate="1" containsString="0" minDate="1899-12-30T00:11:35" maxDate="1899-12-30T23:45:12"/>
    </cacheField>
    <cacheField name="actual_delivery_time" numFmtId="22">
      <sharedItems containsSemiMixedTypes="0" containsNonDate="0" containsDate="1" containsString="0" minDate="2015-01-21T21:01:26" maxDate="2015-02-18T02:08:57"/>
    </cacheField>
    <cacheField name="Delivery time" numFmtId="168">
      <sharedItems containsSemiMixedTypes="0" containsNonDate="0" containsDate="1" containsString="0" minDate="1899-12-30T00:14:05" maxDate="1899-12-30T23:27:16"/>
    </cacheField>
    <cacheField name="store_id" numFmtId="0">
      <sharedItems/>
    </cacheField>
    <cacheField name="store_primary_category" numFmtId="0">
      <sharedItems/>
    </cacheField>
    <cacheField name="order_protocol" numFmtId="0">
      <sharedItems containsString="0" containsBlank="1" containsNumber="1" containsInteger="1" minValue="1" maxValue="5"/>
    </cacheField>
    <cacheField name="total_items" numFmtId="0">
      <sharedItems containsSemiMixedTypes="0" containsString="0" containsNumber="1" containsInteger="1" minValue="1" maxValue="8"/>
    </cacheField>
    <cacheField name="subtotal" numFmtId="0">
      <sharedItems containsSemiMixedTypes="0" containsString="0" containsNumber="1" containsInteger="1" minValue="595" maxValue="14900"/>
    </cacheField>
    <cacheField name="num_distinct_items" numFmtId="0">
      <sharedItems containsSemiMixedTypes="0" containsString="0" containsNumber="1" containsInteger="1" minValue="1" maxValue="6"/>
    </cacheField>
    <cacheField name="min_item_price" numFmtId="0">
      <sharedItems containsSemiMixedTypes="0" containsString="0" containsNumber="1" containsInteger="1" minValue="150" maxValue="1900"/>
    </cacheField>
    <cacheField name="max_item_price" numFmtId="0">
      <sharedItems containsSemiMixedTypes="0" containsString="0" containsNumber="1" containsInteger="1" minValue="295" maxValue="3900"/>
    </cacheField>
    <cacheField name="total_onshift_partners" numFmtId="0">
      <sharedItems containsSemiMixedTypes="0" containsString="0" containsNumber="1" containsInteger="1" minValue="1" maxValue="130"/>
    </cacheField>
    <cacheField name="total_busy_partners" numFmtId="0">
      <sharedItems containsSemiMixedTypes="0" containsString="0" containsNumber="1" containsInteger="1" minValue="0" maxValue="129"/>
    </cacheField>
    <cacheField name="total_outstanding_orders" numFmtId="0">
      <sharedItems containsSemiMixedTypes="0" containsString="0" containsNumber="1" containsInteger="1" minValue="0" maxValue="230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marker_id2" numFmtId="0">
      <sharedItems containsString="0" containsBlank="1" containsNumber="1" containsInteger="1" minValue="1" maxValue="4"/>
    </cacheField>
    <cacheField name="Count of market" numFmtId="0">
      <sharedItems containsString="0" containsBlank="1" containsNumber="1" containsInteger="1" minValue="3" maxValue="27"/>
    </cacheField>
    <cacheField name="Field22" caption="Field22" numFmtId="0">
      <sharedItems containsNonDate="0" containsString="0" containsBlank="1"/>
    </cacheField>
    <cacheField name="Delivery Time(Minutes)" numFmtId="0">
      <sharedItems containsSemiMixedTypes="0" containsString="0" containsNumber="1" minValue="25.261574071191717" maxValue="130.71527777501615"/>
    </cacheField>
    <cacheField name="Hrs extracted from created_at" numFmtId="0">
      <sharedItems containsSemiMixedTypes="0" containsString="0" containsNumber="1" containsInteger="1" minValue="0" maxValue="23"/>
    </cacheField>
    <cacheField name="Field25" caption="Field25" numFmtId="0">
      <sharedItems containsNonDate="0" containsString="0" containsBlank="1"/>
    </cacheField>
    <cacheField name="Day of Week" numFmtId="0">
      <sharedItems/>
    </cacheField>
    <cacheField name="Field27" caption="Field27" numFmtId="0">
      <sharedItems containsBlank="1"/>
    </cacheField>
    <cacheField name="Count of Orders by days" numFmtId="0">
      <sharedItems containsString="0" containsBlank="1" containsNumber="1" containsInteger="1" minValue="3" maxValue="8"/>
    </cacheField>
    <cacheField name="Field29" caption="Field29" numFmtId="0">
      <sharedItems containsNonDate="0" containsString="0" containsBlank="1"/>
    </cacheField>
    <cacheField name="Correlation of total_items and Subtototal" numFmtId="0">
      <sharedItems containsString="0" containsBlank="1" containsNumber="1" minValue="0.77954349290164582" maxValue="0.96851699906665789"/>
    </cacheField>
    <cacheField name="Field31" caption="Field31" numFmtId="0">
      <sharedItems containsNonDate="0" containsString="0" containsBlank="1"/>
    </cacheField>
    <cacheField name="Calculated  time required to delivered in mins." numFmtId="0">
      <sharedItems containsString="0" containsBlank="1" containsNumber="1" minValue="-134.44999999715947" maxValue="-25.983333330368623"/>
    </cacheField>
    <cacheField name="Percentage of Order delivered in 30 mins." numFmtId="0">
      <sharedItems containsString="0" containsBlank="1" containsNumber="1" minValue="0" maxValue="0.16666666666666666"/>
    </cacheField>
    <cacheField name="Field34" caption="Field34" numFmtId="0">
      <sharedItems containsNonDate="0" containsString="0" containsBlank="1"/>
    </cacheField>
    <cacheField name="Field35" caption="Field35" numFmtId="0">
      <sharedItems containsBlank="1"/>
    </cacheField>
    <cacheField name="Field36" caption="Field36" numFmtId="0">
      <sharedItems containsString="0" containsBlank="1" containsNumber="1" minValue="0.14759562160166309" maxValue="1"/>
    </cacheField>
    <cacheField name="Field37" caption="Field37" numFmtId="0">
      <sharedItems containsNonDate="0" containsString="0" containsBlank="1"/>
    </cacheField>
    <cacheField name="Diff of actual delivery time and Order time" numFmtId="0">
      <sharedItems containsDate="1" containsString="0" containsBlank="1" containsMixedTypes="1" minDate="1900-01-03T23:02:11" maxDate="1899-12-30T02:14:27"/>
    </cacheField>
    <cacheField name="Field39" caption="Field39" numFmtId="0">
      <sharedItems containsNonDate="0" containsString="0" containsBlank="1"/>
    </cacheField>
    <cacheField name="Field40" caption="Field40" numFmtId="0">
      <sharedItems containsNonDate="0" containsString="0" containsBlank="1"/>
    </cacheField>
    <cacheField name="Field41" caption="Field41" numFmtId="0">
      <sharedItems containsNonDate="0" containsString="0" containsBlank="1"/>
    </cacheField>
    <cacheField name="total_items2" numFmtId="0">
      <sharedItems containsSemiMixedTypes="0" containsString="0" containsNumber="1" containsInteger="1" minValue="1" maxValue="8"/>
    </cacheField>
    <cacheField name="subtotal2" numFmtId="0">
      <sharedItems containsSemiMixedTypes="0" containsString="0" containsNumber="1" containsInteger="1" minValue="595" maxValue="14900"/>
    </cacheField>
    <cacheField name="Field44" caption="Field44" numFmtId="0">
      <sharedItems containsNonDate="0" containsString="0" containsBlank="1"/>
    </cacheField>
    <cacheField name="Field45" caption="Field45" numFmtId="0">
      <sharedItems containsNonDate="0" containsString="0" containsBlank="1"/>
    </cacheField>
    <cacheField name="Field46" caption="Field46" numFmtId="0">
      <sharedItems containsBlank="1"/>
    </cacheField>
    <cacheField name="Field47" caption="Field47" numFmtId="0">
      <sharedItems containsBlank="1" containsMixedTypes="1" containsNumber="1" minValue="0.78369900049790797" maxValue="1"/>
    </cacheField>
    <cacheField name="Field48" caption="Field48" numFmtId="0">
      <sharedItems containsBlank="1" containsMixedTypes="1" containsNumber="1" containsInteger="1" minValue="1" maxValue="1"/>
    </cacheField>
    <cacheField name="Field49" caption="Field49" numFmtId="0">
      <sharedItems containsNonDate="0" containsString="0" containsBlank="1"/>
    </cacheField>
    <cacheField name="Field50" caption="Field50" numFmtId="0">
      <sharedItems containsNonDate="0" containsString="0" containsBlank="1"/>
    </cacheField>
    <cacheField name="Field51" caption="Field51" numFmtId="0">
      <sharedItems containsNonDate="0" containsString="0" containsBlank="1"/>
    </cacheField>
    <cacheField name="Field52" caption="Field52" numFmtId="0">
      <sharedItems containsSemiMixedTypes="0" containsString="0" containsNumber="1" containsInteger="1" minValue="1" maxValue="45"/>
    </cacheField>
    <cacheField name="Field53" caption="Field53" numFmtId="0">
      <sharedItems containsNonDate="0" containsString="0" containsBlank="1"/>
    </cacheField>
    <cacheField name="Field54" caption="Field54" numFmtId="0">
      <sharedItems containsNonDate="0" containsString="0" containsBlank="1"/>
    </cacheField>
    <cacheField name="Delivery Time(Mins)" numFmtId="0">
      <sharedItems containsSemiMixedTypes="0" containsString="0" containsNumber="1" minValue="25.983333330368623" maxValue="134.44999999715947"/>
    </cacheField>
    <cacheField name="Average Delivery Time" numFmtId="0">
      <sharedItems containsSemiMixedTypes="0" containsString="0" containsNumber="1" minValue="50.191666664904915" maxValue="77.033333332277834"/>
    </cacheField>
    <cacheField name="order Day" numFmtId="0">
      <sharedItems/>
    </cacheField>
    <cacheField name="Field58" caption="Field58" numFmtId="0">
      <sharedItems containsNonDate="0" containsString="0" containsBlank="1"/>
    </cacheField>
    <cacheField name="unique marker_id" numFmtId="0">
      <sharedItems containsString="0" containsBlank="1" containsNumber="1" containsInteger="1" minValue="1" maxValue="4"/>
    </cacheField>
    <cacheField name="Average Subtotal" numFmtId="0">
      <sharedItems containsString="0" containsBlank="1" containsNumber="1" minValue="2630.3333333333335" maxValue="6001.333333333333"/>
    </cacheField>
    <cacheField name="Field61" caption="Field61" numFmtId="0">
      <sharedItems containsNonDate="0" containsString="0" containsBlank="1"/>
    </cacheField>
    <cacheField name="Difference of price range" numFmtId="0">
      <sharedItems containsSemiMixedTypes="0" containsString="0" containsNumber="1" containsInteger="1" minValue="0" maxValue="2700" count="27">
        <n v="0"/>
        <n v="630"/>
        <n v="1663"/>
        <n v="1000"/>
        <n v="770"/>
        <n v="95"/>
        <n v="75"/>
        <n v="400"/>
        <n v="620"/>
        <n v="725"/>
        <n v="300"/>
        <n v="675"/>
        <n v="1500"/>
        <n v="550"/>
        <n v="250"/>
        <n v="2700"/>
        <n v="1200"/>
        <n v="900"/>
        <n v="682"/>
        <n v="1440"/>
        <n v="1300"/>
        <n v="1050"/>
        <n v="1600"/>
        <n v="500"/>
        <n v="784"/>
        <n v="700"/>
        <n v="7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d v="2015-02-06T23:27:16"/>
    <s v="df263d996281d984952c07998dc54358"/>
    <s v="american"/>
    <n v="1"/>
    <n v="4"/>
    <n v="3441"/>
    <n v="4"/>
    <n v="557"/>
    <n v="1239"/>
    <n v="33"/>
    <n v="14"/>
    <n v="21"/>
  </r>
  <r>
    <x v="1"/>
    <x v="1"/>
    <d v="2015-02-10T22:56:29"/>
    <s v="f0ade77b43923b38237db569b016ba25"/>
    <s v="mexican"/>
    <n v="2"/>
    <n v="1"/>
    <n v="1900"/>
    <n v="1"/>
    <n v="1400"/>
    <n v="1400"/>
    <n v="1"/>
    <n v="2"/>
    <n v="2"/>
  </r>
  <r>
    <x v="2"/>
    <x v="2"/>
    <d v="2015-01-22T21:09:09"/>
    <s v="f0ade77b43923b38237db569b016ba25"/>
    <s v="NA"/>
    <n v="1"/>
    <n v="1"/>
    <n v="1900"/>
    <n v="1"/>
    <n v="1900"/>
    <n v="1900"/>
    <n v="1"/>
    <n v="0"/>
    <n v="0"/>
  </r>
  <r>
    <x v="2"/>
    <x v="3"/>
    <d v="2015-02-03T22:13:00"/>
    <s v="f0ade77b43923b38237db569b016ba25"/>
    <s v="NA"/>
    <n v="1"/>
    <n v="6"/>
    <n v="6900"/>
    <n v="5"/>
    <n v="600"/>
    <n v="1800"/>
    <n v="1"/>
    <n v="1"/>
    <n v="2"/>
  </r>
  <r>
    <x v="2"/>
    <x v="4"/>
    <d v="2015-02-15T03:20:26"/>
    <s v="f0ade77b43923b38237db569b016ba25"/>
    <s v="NA"/>
    <n v="1"/>
    <n v="3"/>
    <n v="3900"/>
    <n v="3"/>
    <n v="1100"/>
    <n v="1600"/>
    <n v="6"/>
    <n v="6"/>
    <n v="9"/>
  </r>
  <r>
    <x v="2"/>
    <x v="5"/>
    <d v="2015-01-28T21:08:58"/>
    <s v="f0ade77b43923b38237db569b016ba25"/>
    <s v="NA"/>
    <n v="1"/>
    <n v="3"/>
    <n v="5000"/>
    <n v="3"/>
    <n v="1500"/>
    <n v="1900"/>
    <n v="2"/>
    <n v="2"/>
    <n v="2"/>
  </r>
  <r>
    <x v="2"/>
    <x v="6"/>
    <d v="2015-01-31T02:43:00"/>
    <s v="f0ade77b43923b38237db569b016ba25"/>
    <s v="NA"/>
    <n v="1"/>
    <n v="2"/>
    <n v="3900"/>
    <n v="2"/>
    <n v="1200"/>
    <n v="2700"/>
    <n v="10"/>
    <n v="9"/>
    <n v="9"/>
  </r>
  <r>
    <x v="2"/>
    <x v="7"/>
    <d v="2015-02-12T03:36:20"/>
    <s v="f0ade77b43923b38237db569b016ba25"/>
    <s v="NA"/>
    <n v="1"/>
    <n v="4"/>
    <n v="4850"/>
    <n v="4"/>
    <n v="750"/>
    <n v="1800"/>
    <n v="7"/>
    <n v="8"/>
    <n v="7"/>
  </r>
  <r>
    <x v="1"/>
    <x v="8"/>
    <d v="2015-02-16T00:38:01"/>
    <s v="f0ade77b43923b38237db569b016ba25"/>
    <s v="indian"/>
    <n v="3"/>
    <n v="4"/>
    <n v="4771"/>
    <n v="3"/>
    <n v="820"/>
    <n v="1604"/>
    <n v="8"/>
    <n v="6"/>
    <n v="18"/>
  </r>
  <r>
    <x v="2"/>
    <x v="9"/>
    <d v="2015-02-18T02:08:57"/>
    <s v="f0ade77b43923b38237db569b016ba25"/>
    <s v="NA"/>
    <n v="1"/>
    <n v="2"/>
    <n v="2100"/>
    <n v="2"/>
    <n v="700"/>
    <n v="1200"/>
    <n v="2"/>
    <n v="2"/>
    <n v="2"/>
  </r>
  <r>
    <x v="2"/>
    <x v="10"/>
    <d v="2015-02-02T20:09:19"/>
    <s v="f0ade77b43923b38237db569b016ba25"/>
    <s v="NA"/>
    <n v="4"/>
    <n v="4"/>
    <n v="4300"/>
    <n v="4"/>
    <n v="1200"/>
    <n v="1500"/>
    <n v="1"/>
    <n v="1"/>
    <n v="1"/>
  </r>
  <r>
    <x v="2"/>
    <x v="11"/>
    <d v="2015-02-16T06:34:00"/>
    <s v="f0ade77b43923b38237db569b016ba25"/>
    <s v="NA"/>
    <n v="1"/>
    <n v="2"/>
    <n v="2200"/>
    <n v="2"/>
    <n v="600"/>
    <n v="1600"/>
    <n v="3"/>
    <n v="3"/>
    <n v="4"/>
  </r>
  <r>
    <x v="2"/>
    <x v="12"/>
    <d v="2015-02-07T02:17:14"/>
    <s v="f0ade77b43923b38237db569b016ba25"/>
    <s v="NA"/>
    <n v="1"/>
    <n v="1"/>
    <n v="1900"/>
    <n v="1"/>
    <n v="1900"/>
    <n v="1900"/>
    <n v="6"/>
    <n v="3"/>
    <n v="3"/>
  </r>
  <r>
    <x v="2"/>
    <x v="13"/>
    <d v="2015-01-25T02:28:53"/>
    <s v="f0ade77b43923b38237db569b016ba25"/>
    <s v="NA"/>
    <n v="4"/>
    <n v="4"/>
    <n v="4986"/>
    <n v="4"/>
    <n v="699"/>
    <n v="2362"/>
    <n v="16"/>
    <n v="6"/>
    <n v="9"/>
  </r>
  <r>
    <x v="0"/>
    <x v="14"/>
    <d v="2015-02-12T04:14:39"/>
    <s v="ef1e491a766ce3127556063d49bc2f98"/>
    <s v="italian"/>
    <n v="1"/>
    <n v="1"/>
    <n v="1525"/>
    <n v="1"/>
    <n v="1525"/>
    <n v="1525"/>
    <n v="5"/>
    <n v="6"/>
    <n v="8"/>
  </r>
  <r>
    <x v="0"/>
    <x v="15"/>
    <d v="2015-01-27T03:02:24"/>
    <s v="ef1e491a766ce3127556063d49bc2f98"/>
    <s v="italian"/>
    <n v="1"/>
    <n v="2"/>
    <n v="3620"/>
    <n v="2"/>
    <n v="1425"/>
    <n v="2195"/>
    <n v="5"/>
    <n v="5"/>
    <n v="7"/>
  </r>
  <r>
    <x v="0"/>
    <x v="16"/>
    <d v="2015-02-06T02:10:29"/>
    <s v="ef1e491a766ce3127556063d49bc2f98"/>
    <s v="italian"/>
    <n v="1"/>
    <n v="3"/>
    <n v="4475"/>
    <n v="3"/>
    <n v="925"/>
    <n v="1825"/>
    <n v="4"/>
    <n v="1"/>
    <n v="1"/>
  </r>
  <r>
    <x v="0"/>
    <x v="17"/>
    <d v="2015-02-08T03:27:13"/>
    <s v="ef1e491a766ce3127556063d49bc2f98"/>
    <s v="italian"/>
    <n v="1"/>
    <n v="3"/>
    <n v="4375"/>
    <n v="3"/>
    <n v="1325"/>
    <n v="1625"/>
    <n v="6"/>
    <n v="4"/>
    <n v="3"/>
  </r>
  <r>
    <x v="0"/>
    <x v="18"/>
    <d v="2015-01-31T05:47:30"/>
    <s v="ef1e491a766ce3127556063d49bc2f98"/>
    <s v="italian"/>
    <n v="1"/>
    <n v="2"/>
    <n v="3150"/>
    <n v="2"/>
    <n v="1425"/>
    <n v="1725"/>
    <n v="4"/>
    <n v="9"/>
    <n v="12"/>
  </r>
  <r>
    <x v="0"/>
    <x v="19"/>
    <d v="2015-01-31T03:11:42"/>
    <s v="ce016f59ecc2366a43e1c96a4774d167"/>
    <s v="mexican"/>
    <n v="1"/>
    <n v="2"/>
    <n v="950"/>
    <n v="2"/>
    <n v="150"/>
    <n v="700"/>
    <n v="24"/>
    <n v="24"/>
    <n v="26"/>
  </r>
  <r>
    <x v="0"/>
    <x v="20"/>
    <d v="2015-02-01T00:14:05"/>
    <s v="ce016f59ecc2366a43e1c96a4774d167"/>
    <s v="mexican"/>
    <n v="1"/>
    <n v="5"/>
    <n v="1285"/>
    <n v="3"/>
    <n v="150"/>
    <n v="400"/>
    <n v="12"/>
    <n v="13"/>
    <n v="11"/>
  </r>
  <r>
    <x v="0"/>
    <x v="21"/>
    <d v="2015-02-17T04:00:31"/>
    <s v="e8542a04d734d0cae36d648b3f519e5c"/>
    <s v="italian"/>
    <n v="1"/>
    <n v="4"/>
    <n v="5800"/>
    <n v="4"/>
    <n v="700"/>
    <n v="2000"/>
    <n v="19"/>
    <n v="19"/>
    <n v="30"/>
  </r>
  <r>
    <x v="0"/>
    <x v="22"/>
    <d v="2015-02-15T02:16:07"/>
    <s v="e8542a04d734d0cae36d648b3f519e5c"/>
    <s v="italian"/>
    <n v="1"/>
    <n v="2"/>
    <n v="2800"/>
    <n v="2"/>
    <n v="1200"/>
    <n v="1600"/>
    <n v="21"/>
    <n v="17"/>
    <n v="16"/>
  </r>
  <r>
    <x v="0"/>
    <x v="23"/>
    <d v="2015-02-02T07:05:09"/>
    <s v="e8542a04d734d0cae36d648b3f519e5c"/>
    <s v="italian"/>
    <n v="1"/>
    <n v="7"/>
    <n v="14900"/>
    <n v="5"/>
    <n v="1200"/>
    <n v="3900"/>
    <n v="8"/>
    <n v="11"/>
    <n v="11"/>
  </r>
  <r>
    <x v="0"/>
    <x v="24"/>
    <d v="2015-02-16T03:54:14"/>
    <s v="e8542a04d734d0cae36d648b3f519e5c"/>
    <s v="italian"/>
    <n v="1"/>
    <n v="3"/>
    <n v="3400"/>
    <n v="3"/>
    <n v="1400"/>
    <n v="2100"/>
    <n v="22"/>
    <n v="21"/>
    <n v="39"/>
  </r>
  <r>
    <x v="0"/>
    <x v="25"/>
    <d v="2015-02-13T01:40:09"/>
    <s v="e8542a04d734d0cae36d648b3f519e5c"/>
    <s v="italian"/>
    <n v="1"/>
    <n v="3"/>
    <n v="3800"/>
    <n v="3"/>
    <n v="700"/>
    <n v="1600"/>
    <n v="16"/>
    <n v="9"/>
    <n v="7"/>
  </r>
  <r>
    <x v="0"/>
    <x v="26"/>
    <d v="2015-01-24T02:46:13"/>
    <s v="e8542a04d734d0cae36d648b3f519e5c"/>
    <s v="italian"/>
    <n v="1"/>
    <n v="1"/>
    <n v="1800"/>
    <n v="1"/>
    <n v="1800"/>
    <n v="1800"/>
    <n v="27"/>
    <n v="25"/>
    <n v="24"/>
  </r>
  <r>
    <x v="0"/>
    <x v="27"/>
    <d v="2015-02-10T05:20:37"/>
    <s v="e8542a04d734d0cae36d648b3f519e5c"/>
    <s v="italian"/>
    <n v="1"/>
    <n v="4"/>
    <n v="5800"/>
    <n v="4"/>
    <n v="700"/>
    <n v="2000"/>
    <n v="13"/>
    <n v="16"/>
    <n v="27"/>
  </r>
  <r>
    <x v="0"/>
    <x v="28"/>
    <d v="2015-01-26T02:47:22"/>
    <s v="e8542a04d734d0cae36d648b3f519e5c"/>
    <s v="italian"/>
    <n v="1"/>
    <n v="3"/>
    <n v="3800"/>
    <n v="3"/>
    <n v="800"/>
    <n v="1800"/>
    <n v="21"/>
    <n v="18"/>
    <n v="20"/>
  </r>
  <r>
    <x v="0"/>
    <x v="29"/>
    <d v="2015-02-07T02:48:06"/>
    <s v="e8542a04d734d0cae36d648b3f519e5c"/>
    <s v="italian"/>
    <n v="1"/>
    <n v="1"/>
    <n v="1800"/>
    <n v="1"/>
    <n v="1800"/>
    <n v="1800"/>
    <n v="22"/>
    <n v="21"/>
    <n v="20"/>
  </r>
  <r>
    <x v="0"/>
    <x v="30"/>
    <d v="2015-01-30T02:20:42"/>
    <s v="e8542a04d734d0cae36d648b3f519e5c"/>
    <s v="italian"/>
    <n v="1"/>
    <n v="2"/>
    <n v="2700"/>
    <n v="2"/>
    <n v="1200"/>
    <n v="1500"/>
    <n v="16"/>
    <n v="16"/>
    <n v="13"/>
  </r>
  <r>
    <x v="2"/>
    <x v="31"/>
    <d v="2015-01-30T20:28:45"/>
    <s v="50905d7b2216bfeccb5b41016357176b"/>
    <s v="sandwich"/>
    <n v="2"/>
    <n v="4"/>
    <n v="3490"/>
    <n v="3"/>
    <n v="175"/>
    <n v="850"/>
    <n v="16"/>
    <n v="16"/>
    <n v="21"/>
  </r>
  <r>
    <x v="0"/>
    <x v="32"/>
    <d v="2015-01-28T21:04:14"/>
    <s v="50905d7b2216bfeccb5b41016357176b"/>
    <s v="NA"/>
    <m/>
    <n v="3"/>
    <n v="1765"/>
    <n v="3"/>
    <n v="275"/>
    <n v="895"/>
    <n v="22"/>
    <n v="21"/>
    <n v="24"/>
  </r>
  <r>
    <x v="0"/>
    <x v="33"/>
    <d v="2015-02-12T21:18:29"/>
    <s v="50905d7b2216bfeccb5b41016357176b"/>
    <s v="NA"/>
    <n v="2"/>
    <n v="1"/>
    <n v="975"/>
    <n v="1"/>
    <n v="975"/>
    <n v="975"/>
    <n v="24"/>
    <n v="25"/>
    <n v="30"/>
  </r>
  <r>
    <x v="0"/>
    <x v="34"/>
    <d v="2015-01-28T22:11:53"/>
    <s v="50905d7b2216bfeccb5b41016357176b"/>
    <s v="NA"/>
    <n v="2"/>
    <n v="3"/>
    <n v="1425"/>
    <n v="3"/>
    <n v="175"/>
    <n v="900"/>
    <n v="13"/>
    <n v="12"/>
    <n v="7"/>
  </r>
  <r>
    <x v="1"/>
    <x v="35"/>
    <d v="2015-02-09T21:17:34"/>
    <s v="50905d7b2216bfeccb5b41016357176b"/>
    <s v="thai"/>
    <n v="5"/>
    <n v="1"/>
    <n v="1220"/>
    <n v="1"/>
    <n v="825"/>
    <n v="825"/>
    <n v="21"/>
    <n v="21"/>
    <n v="20"/>
  </r>
  <r>
    <x v="0"/>
    <x v="36"/>
    <d v="2015-01-21T21:01:26"/>
    <s v="50905d7b2216bfeccb5b41016357176b"/>
    <s v="NA"/>
    <n v="2"/>
    <n v="2"/>
    <n v="1750"/>
    <n v="2"/>
    <n v="825"/>
    <n v="825"/>
    <n v="18"/>
    <n v="18"/>
    <n v="20"/>
  </r>
  <r>
    <x v="0"/>
    <x v="37"/>
    <d v="2015-02-16T20:16:43"/>
    <s v="50905d7b2216bfeccb5b41016357176b"/>
    <s v="NA"/>
    <n v="2"/>
    <n v="8"/>
    <n v="7870"/>
    <n v="6"/>
    <n v="825"/>
    <n v="895"/>
    <n v="12"/>
    <n v="11"/>
    <n v="9"/>
  </r>
  <r>
    <x v="0"/>
    <x v="38"/>
    <d v="2015-01-27T21:03:53"/>
    <s v="50905d7b2216bfeccb5b41016357176b"/>
    <s v="NA"/>
    <n v="2"/>
    <n v="2"/>
    <n v="1725"/>
    <n v="2"/>
    <n v="825"/>
    <n v="900"/>
    <n v="21"/>
    <n v="18"/>
    <n v="18"/>
  </r>
  <r>
    <x v="0"/>
    <x v="39"/>
    <d v="2015-01-22T21:07:43"/>
    <s v="50905d7b2216bfeccb5b41016357176b"/>
    <s v="NA"/>
    <n v="2"/>
    <n v="3"/>
    <n v="2015"/>
    <n v="3"/>
    <n v="395"/>
    <n v="1025"/>
    <n v="22"/>
    <n v="13"/>
    <n v="13"/>
  </r>
  <r>
    <x v="0"/>
    <x v="40"/>
    <d v="2015-02-10T20:34:43"/>
    <s v="50905d7b2216bfeccb5b41016357176b"/>
    <s v="NA"/>
    <n v="2"/>
    <n v="1"/>
    <n v="1220"/>
    <n v="1"/>
    <n v="825"/>
    <n v="825"/>
    <n v="21"/>
    <n v="21"/>
    <n v="20"/>
  </r>
  <r>
    <x v="0"/>
    <x v="41"/>
    <d v="2015-01-27T19:02:09"/>
    <s v="197e342c9fbad962dbe6d3322f723ca6"/>
    <s v="cafe"/>
    <n v="4"/>
    <n v="2"/>
    <n v="595"/>
    <n v="2"/>
    <n v="200"/>
    <n v="295"/>
    <n v="5"/>
    <n v="1"/>
    <n v="1"/>
  </r>
  <r>
    <x v="3"/>
    <x v="42"/>
    <d v="2015-02-07T02:46:27"/>
    <s v="ea119a40c1592979f51819b0bd38d39d"/>
    <s v="italian"/>
    <n v="1"/>
    <n v="4"/>
    <n v="5500"/>
    <n v="4"/>
    <n v="700"/>
    <n v="1900"/>
    <n v="117"/>
    <n v="112"/>
    <n v="178"/>
  </r>
  <r>
    <x v="3"/>
    <x v="43"/>
    <d v="2015-02-14T04:25:25"/>
    <s v="ea119a40c1592979f51819b0bd38d39d"/>
    <s v="italian"/>
    <n v="1"/>
    <n v="5"/>
    <n v="5400"/>
    <n v="3"/>
    <n v="600"/>
    <n v="2200"/>
    <n v="130"/>
    <n v="129"/>
    <n v="230"/>
  </r>
  <r>
    <x v="3"/>
    <x v="44"/>
    <d v="2015-02-08T04:03:49"/>
    <s v="ea119a40c1592979f51819b0bd38d39d"/>
    <s v="italian"/>
    <n v="1"/>
    <n v="4"/>
    <n v="7104"/>
    <n v="3"/>
    <n v="751"/>
    <n v="2191"/>
    <n v="121"/>
    <n v="119"/>
    <n v="2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d v="2015-02-06T22:24:17"/>
    <d v="2015-02-06T23:27:16"/>
    <s v="df263d996281d984952c07998dc54358"/>
    <x v="0"/>
    <x v="0"/>
    <n v="4"/>
    <n v="3441"/>
    <n v="4"/>
    <n v="557"/>
    <n v="1239"/>
    <n v="33"/>
    <n v="14"/>
    <n v="21"/>
    <m/>
    <b v="1"/>
    <b v="1"/>
    <n v="1"/>
    <n v="27"/>
    <m/>
    <n v="61.23379628843395"/>
  </r>
  <r>
    <n v="2"/>
    <d v="2015-02-10T21:49:25"/>
    <d v="2015-02-10T22:56:29"/>
    <s v="f0ade77b43923b38237db569b016ba25"/>
    <x v="1"/>
    <x v="1"/>
    <n v="1"/>
    <n v="1900"/>
    <n v="1"/>
    <n v="1400"/>
    <n v="1400"/>
    <n v="1"/>
    <n v="2"/>
    <n v="2"/>
    <m/>
    <b v="1"/>
    <m/>
    <n v="2"/>
    <n v="3"/>
    <m/>
    <n v="65.20370370708406"/>
  </r>
  <r>
    <n v="3"/>
    <d v="2015-01-22T20:39:28"/>
    <d v="2015-01-22T21:09:09"/>
    <s v="f0ade77b43923b38237db569b016ba25"/>
    <x v="2"/>
    <x v="0"/>
    <n v="1"/>
    <n v="1900"/>
    <n v="1"/>
    <n v="1900"/>
    <n v="1900"/>
    <n v="1"/>
    <n v="0"/>
    <n v="0"/>
    <m/>
    <b v="1"/>
    <m/>
    <n v="3"/>
    <n v="12"/>
    <m/>
    <n v="28.858796299027745"/>
  </r>
  <r>
    <n v="3"/>
    <d v="2015-02-03T21:21:45"/>
    <d v="2015-02-03T22:13:00"/>
    <s v="f0ade77b43923b38237db569b016ba25"/>
    <x v="2"/>
    <x v="0"/>
    <n v="6"/>
    <n v="6900"/>
    <n v="5"/>
    <n v="600"/>
    <n v="1800"/>
    <n v="1"/>
    <n v="1"/>
    <n v="2"/>
    <m/>
    <b v="1"/>
    <m/>
    <n v="4"/>
    <n v="3"/>
    <m/>
    <n v="49.826388883229811"/>
  </r>
  <r>
    <n v="3"/>
    <d v="2015-02-15T02:40:36"/>
    <d v="2015-02-15T03:20:26"/>
    <s v="f0ade77b43923b38237db569b016ba25"/>
    <x v="2"/>
    <x v="0"/>
    <n v="3"/>
    <n v="3900"/>
    <n v="3"/>
    <n v="1100"/>
    <n v="1600"/>
    <n v="6"/>
    <n v="6"/>
    <n v="9"/>
    <m/>
    <b v="1"/>
    <m/>
    <m/>
    <m/>
    <m/>
    <n v="38.72685184906004"/>
  </r>
  <r>
    <n v="3"/>
    <d v="2015-01-28T20:30:38"/>
    <d v="2015-01-28T21:08:58"/>
    <s v="f0ade77b43923b38237db569b016ba25"/>
    <x v="2"/>
    <x v="0"/>
    <n v="3"/>
    <n v="5000"/>
    <n v="3"/>
    <n v="1500"/>
    <n v="1900"/>
    <n v="2"/>
    <n v="2"/>
    <n v="2"/>
    <m/>
    <b v="1"/>
    <m/>
    <m/>
    <m/>
    <m/>
    <n v="37.268518521159422"/>
  </r>
  <r>
    <n v="3"/>
    <d v="2015-01-31T02:16:36"/>
    <d v="2015-01-31T02:43:00"/>
    <s v="f0ade77b43923b38237db569b016ba25"/>
    <x v="2"/>
    <x v="0"/>
    <n v="2"/>
    <n v="3900"/>
    <n v="2"/>
    <n v="1200"/>
    <n v="2700"/>
    <n v="10"/>
    <n v="9"/>
    <n v="9"/>
    <m/>
    <b v="1"/>
    <m/>
    <m/>
    <m/>
    <m/>
    <n v="25.666666666802485"/>
  </r>
  <r>
    <n v="3"/>
    <d v="2015-02-12T03:03:35"/>
    <d v="2015-02-12T03:36:20"/>
    <s v="f0ade77b43923b38237db569b016ba25"/>
    <x v="2"/>
    <x v="0"/>
    <n v="4"/>
    <n v="4850"/>
    <n v="4"/>
    <n v="750"/>
    <n v="1800"/>
    <n v="7"/>
    <n v="8"/>
    <n v="7"/>
    <m/>
    <b v="1"/>
    <m/>
    <m/>
    <m/>
    <m/>
    <n v="31.840277774608694"/>
  </r>
  <r>
    <n v="2"/>
    <d v="2015-02-16T00:11:35"/>
    <d v="2015-02-16T00:38:01"/>
    <s v="f0ade77b43923b38237db569b016ba25"/>
    <x v="3"/>
    <x v="2"/>
    <n v="4"/>
    <n v="4771"/>
    <n v="3"/>
    <n v="820"/>
    <n v="1604"/>
    <n v="8"/>
    <n v="6"/>
    <n v="18"/>
    <m/>
    <b v="1"/>
    <m/>
    <m/>
    <m/>
    <m/>
    <n v="25.699074071599171"/>
  </r>
  <r>
    <n v="3"/>
    <d v="2015-02-18T01:15:45"/>
    <d v="2015-02-18T02:08:57"/>
    <s v="f0ade77b43923b38237db569b016ba25"/>
    <x v="2"/>
    <x v="0"/>
    <n v="2"/>
    <n v="2100"/>
    <n v="2"/>
    <n v="700"/>
    <n v="1200"/>
    <n v="2"/>
    <n v="2"/>
    <n v="2"/>
    <m/>
    <b v="1"/>
    <m/>
    <m/>
    <m/>
    <m/>
    <n v="51.722222221724223"/>
  </r>
  <r>
    <n v="3"/>
    <d v="2015-02-02T19:22:53"/>
    <d v="2015-02-02T20:09:19"/>
    <s v="f0ade77b43923b38237db569b016ba25"/>
    <x v="2"/>
    <x v="3"/>
    <n v="4"/>
    <n v="4300"/>
    <n v="4"/>
    <n v="1200"/>
    <n v="1500"/>
    <n v="1"/>
    <n v="1"/>
    <n v="1"/>
    <m/>
    <b v="1"/>
    <m/>
    <m/>
    <m/>
    <m/>
    <n v="45.143518518307246"/>
  </r>
  <r>
    <n v="3"/>
    <d v="2015-02-16T04:19:33"/>
    <d v="2015-02-16T06:34:00"/>
    <s v="f0ade77b43923b38237db569b016ba25"/>
    <x v="2"/>
    <x v="0"/>
    <n v="2"/>
    <n v="2200"/>
    <n v="2"/>
    <n v="600"/>
    <n v="1600"/>
    <n v="3"/>
    <n v="3"/>
    <n v="4"/>
    <m/>
    <b v="1"/>
    <m/>
    <m/>
    <m/>
    <m/>
    <n v="130.71527777501615"/>
  </r>
  <r>
    <n v="3"/>
    <d v="2015-02-07T01:34:31"/>
    <d v="2015-02-07T02:17:14"/>
    <s v="f0ade77b43923b38237db569b016ba25"/>
    <x v="2"/>
    <x v="0"/>
    <n v="1"/>
    <n v="1900"/>
    <n v="1"/>
    <n v="1900"/>
    <n v="1900"/>
    <n v="6"/>
    <n v="3"/>
    <n v="3"/>
    <m/>
    <b v="1"/>
    <m/>
    <m/>
    <m/>
    <m/>
    <n v="41.530092593166046"/>
  </r>
  <r>
    <n v="3"/>
    <d v="2015-01-25T01:50:51"/>
    <d v="2015-01-25T02:28:53"/>
    <s v="f0ade77b43923b38237db569b016ba25"/>
    <x v="2"/>
    <x v="3"/>
    <n v="4"/>
    <n v="4986"/>
    <n v="4"/>
    <n v="699"/>
    <n v="2362"/>
    <n v="16"/>
    <n v="6"/>
    <n v="9"/>
    <m/>
    <b v="1"/>
    <m/>
    <m/>
    <m/>
    <m/>
    <n v="36.976851847430225"/>
  </r>
  <r>
    <n v="1"/>
    <d v="2015-02-12T03:36:46"/>
    <d v="2015-02-12T04:14:39"/>
    <s v="ef1e491a766ce3127556063d49bc2f98"/>
    <x v="4"/>
    <x v="0"/>
    <n v="1"/>
    <n v="1525"/>
    <n v="1"/>
    <n v="1525"/>
    <n v="1525"/>
    <n v="5"/>
    <n v="6"/>
    <n v="8"/>
    <m/>
    <m/>
    <m/>
    <m/>
    <m/>
    <m/>
    <n v="36.831018510565627"/>
  </r>
  <r>
    <n v="1"/>
    <d v="2015-01-27T02:12:36"/>
    <d v="2015-01-27T03:02:24"/>
    <s v="ef1e491a766ce3127556063d49bc2f98"/>
    <x v="4"/>
    <x v="0"/>
    <n v="2"/>
    <n v="3620"/>
    <n v="2"/>
    <n v="1425"/>
    <n v="2195"/>
    <n v="5"/>
    <n v="5"/>
    <n v="7"/>
    <m/>
    <m/>
    <m/>
    <m/>
    <m/>
    <m/>
    <n v="48.416666657431051"/>
  </r>
  <r>
    <n v="1"/>
    <d v="2015-02-06T00:42:42"/>
    <d v="2015-02-06T02:10:29"/>
    <s v="ef1e491a766ce3127556063d49bc2f98"/>
    <x v="4"/>
    <x v="0"/>
    <n v="3"/>
    <n v="4475"/>
    <n v="3"/>
    <n v="925"/>
    <n v="1825"/>
    <n v="4"/>
    <n v="1"/>
    <n v="1"/>
    <m/>
    <m/>
    <m/>
    <m/>
    <m/>
    <m/>
    <n v="85.344907412945759"/>
  </r>
  <r>
    <n v="1"/>
    <d v="2015-02-08T02:04:17"/>
    <d v="2015-02-08T03:27:13"/>
    <s v="ef1e491a766ce3127556063d49bc2f98"/>
    <x v="4"/>
    <x v="0"/>
    <n v="3"/>
    <n v="4375"/>
    <n v="3"/>
    <n v="1325"/>
    <n v="1625"/>
    <n v="6"/>
    <n v="4"/>
    <n v="3"/>
    <m/>
    <m/>
    <m/>
    <m/>
    <m/>
    <m/>
    <n v="80.629629633040167"/>
  </r>
  <r>
    <n v="1"/>
    <d v="2015-01-31T04:35:54"/>
    <d v="2015-01-31T05:47:30"/>
    <s v="ef1e491a766ce3127556063d49bc2f98"/>
    <x v="4"/>
    <x v="0"/>
    <n v="2"/>
    <n v="3150"/>
    <n v="2"/>
    <n v="1425"/>
    <n v="1725"/>
    <n v="4"/>
    <n v="9"/>
    <n v="12"/>
    <m/>
    <m/>
    <m/>
    <m/>
    <m/>
    <m/>
    <n v="69.611111115955282"/>
  </r>
  <r>
    <n v="1"/>
    <d v="2015-01-31T02:21:23"/>
    <d v="2015-01-31T03:11:42"/>
    <s v="ce016f59ecc2366a43e1c96a4774d167"/>
    <x v="1"/>
    <x v="0"/>
    <n v="2"/>
    <n v="950"/>
    <n v="2"/>
    <n v="150"/>
    <n v="700"/>
    <n v="24"/>
    <n v="24"/>
    <n v="26"/>
    <m/>
    <m/>
    <m/>
    <m/>
    <m/>
    <m/>
    <n v="48.918981477618217"/>
  </r>
  <r>
    <n v="1"/>
    <d v="2015-01-31T23:45:12"/>
    <d v="2015-02-01T00:14:05"/>
    <s v="ce016f59ecc2366a43e1c96a4774d167"/>
    <x v="1"/>
    <x v="0"/>
    <n v="5"/>
    <n v="1285"/>
    <n v="3"/>
    <n v="150"/>
    <n v="400"/>
    <n v="12"/>
    <n v="13"/>
    <n v="11"/>
    <m/>
    <m/>
    <m/>
    <m/>
    <m/>
    <m/>
    <n v="28.081018522789236"/>
  </r>
  <r>
    <n v="1"/>
    <d v="2015-02-17T03:13:20"/>
    <d v="2015-02-17T04:00:31"/>
    <s v="e8542a04d734d0cae36d648b3f519e5c"/>
    <x v="4"/>
    <x v="0"/>
    <n v="4"/>
    <n v="5800"/>
    <n v="4"/>
    <n v="700"/>
    <n v="2000"/>
    <n v="19"/>
    <n v="19"/>
    <n v="30"/>
    <m/>
    <m/>
    <m/>
    <m/>
    <m/>
    <m/>
    <n v="45.872685182257555"/>
  </r>
  <r>
    <n v="1"/>
    <d v="2015-02-15T01:26:20"/>
    <d v="2015-02-15T02:16:07"/>
    <s v="e8542a04d734d0cae36d648b3f519e5c"/>
    <x v="4"/>
    <x v="0"/>
    <n v="2"/>
    <n v="2800"/>
    <n v="2"/>
    <n v="1200"/>
    <n v="1600"/>
    <n v="21"/>
    <n v="17"/>
    <n v="16"/>
    <m/>
    <m/>
    <m/>
    <m/>
    <m/>
    <m/>
    <n v="48.400462960125878"/>
  </r>
  <r>
    <n v="1"/>
    <d v="2015-02-02T05:27:49"/>
    <d v="2015-02-02T07:05:09"/>
    <s v="e8542a04d734d0cae36d648b3f519e5c"/>
    <x v="4"/>
    <x v="0"/>
    <n v="7"/>
    <n v="14900"/>
    <n v="5"/>
    <n v="1200"/>
    <n v="3900"/>
    <n v="8"/>
    <n v="11"/>
    <n v="11"/>
    <m/>
    <m/>
    <m/>
    <m/>
    <m/>
    <m/>
    <n v="94.629629625706002"/>
  </r>
  <r>
    <n v="1"/>
    <d v="2015-02-16T02:21:20"/>
    <d v="2015-02-16T03:54:14"/>
    <s v="e8542a04d734d0cae36d648b3f519e5c"/>
    <x v="4"/>
    <x v="0"/>
    <n v="3"/>
    <n v="3400"/>
    <n v="3"/>
    <n v="1400"/>
    <n v="2100"/>
    <n v="22"/>
    <n v="21"/>
    <n v="39"/>
    <m/>
    <m/>
    <m/>
    <m/>
    <m/>
    <m/>
    <n v="90.319444441411179"/>
  </r>
  <r>
    <n v="1"/>
    <d v="2015-02-13T01:01:58"/>
    <d v="2015-02-13T01:40:09"/>
    <s v="e8542a04d734d0cae36d648b3f519e5c"/>
    <x v="4"/>
    <x v="0"/>
    <n v="3"/>
    <n v="3800"/>
    <n v="3"/>
    <n v="700"/>
    <n v="1600"/>
    <n v="16"/>
    <n v="9"/>
    <n v="7"/>
    <m/>
    <m/>
    <m/>
    <m/>
    <m/>
    <m/>
    <n v="37.122685194481164"/>
  </r>
  <r>
    <n v="1"/>
    <d v="2015-01-24T02:01:20"/>
    <d v="2015-01-24T02:46:13"/>
    <s v="e8542a04d734d0cae36d648b3f519e5c"/>
    <x v="4"/>
    <x v="0"/>
    <n v="1"/>
    <n v="1800"/>
    <n v="1"/>
    <n v="1800"/>
    <n v="1800"/>
    <n v="27"/>
    <n v="25"/>
    <n v="24"/>
    <m/>
    <m/>
    <m/>
    <m/>
    <m/>
    <m/>
    <n v="43.636574078118429"/>
  </r>
  <r>
    <n v="1"/>
    <d v="2015-02-10T04:36:39"/>
    <d v="2015-02-10T05:20:37"/>
    <s v="e8542a04d734d0cae36d648b3f519e5c"/>
    <x v="4"/>
    <x v="0"/>
    <n v="4"/>
    <n v="5800"/>
    <n v="4"/>
    <n v="700"/>
    <n v="2000"/>
    <n v="13"/>
    <n v="16"/>
    <n v="27"/>
    <m/>
    <m/>
    <m/>
    <m/>
    <m/>
    <m/>
    <n v="42.745370369812008"/>
  </r>
  <r>
    <n v="1"/>
    <d v="2015-01-26T02:09:48"/>
    <d v="2015-01-26T02:47:22"/>
    <s v="e8542a04d734d0cae36d648b3f519e5c"/>
    <x v="4"/>
    <x v="0"/>
    <n v="3"/>
    <n v="3800"/>
    <n v="3"/>
    <n v="800"/>
    <n v="1800"/>
    <n v="21"/>
    <n v="18"/>
    <n v="20"/>
    <m/>
    <m/>
    <m/>
    <m/>
    <m/>
    <m/>
    <n v="36.523148149717599"/>
  </r>
  <r>
    <n v="1"/>
    <d v="2015-02-07T01:44:26"/>
    <d v="2015-02-07T02:48:06"/>
    <s v="e8542a04d734d0cae36d648b3f519e5c"/>
    <x v="4"/>
    <x v="0"/>
    <n v="1"/>
    <n v="1800"/>
    <n v="1"/>
    <n v="1800"/>
    <n v="1800"/>
    <n v="22"/>
    <n v="21"/>
    <n v="20"/>
    <m/>
    <m/>
    <m/>
    <m/>
    <m/>
    <m/>
    <n v="61.898148152977228"/>
  </r>
  <r>
    <n v="1"/>
    <d v="2015-01-30T01:43:09"/>
    <d v="2015-01-30T02:20:42"/>
    <s v="e8542a04d734d0cae36d648b3f519e5c"/>
    <x v="4"/>
    <x v="0"/>
    <n v="2"/>
    <n v="2700"/>
    <n v="2"/>
    <n v="1200"/>
    <n v="1500"/>
    <n v="16"/>
    <n v="16"/>
    <n v="13"/>
    <m/>
    <m/>
    <m/>
    <m/>
    <m/>
    <m/>
    <n v="36.506944442226086"/>
  </r>
  <r>
    <n v="3"/>
    <d v="2015-01-30T19:49:30"/>
    <d v="2015-01-30T20:28:45"/>
    <s v="50905d7b2216bfeccb5b41016357176b"/>
    <x v="5"/>
    <x v="1"/>
    <n v="4"/>
    <n v="3490"/>
    <n v="3"/>
    <n v="175"/>
    <n v="850"/>
    <n v="16"/>
    <n v="16"/>
    <n v="21"/>
    <m/>
    <m/>
    <m/>
    <m/>
    <m/>
    <m/>
    <n v="38.159722219279502"/>
  </r>
  <r>
    <n v="1"/>
    <d v="2015-01-28T20:33:04"/>
    <d v="2015-01-28T21:04:14"/>
    <s v="50905d7b2216bfeccb5b41016357176b"/>
    <x v="2"/>
    <x v="4"/>
    <n v="3"/>
    <n v="1765"/>
    <n v="3"/>
    <n v="275"/>
    <n v="895"/>
    <n v="22"/>
    <n v="21"/>
    <n v="24"/>
    <m/>
    <m/>
    <m/>
    <m/>
    <m/>
    <m/>
    <n v="30.30092592962319"/>
  </r>
  <r>
    <n v="1"/>
    <d v="2015-02-12T20:27:42"/>
    <d v="2015-02-12T21:18:29"/>
    <s v="50905d7b2216bfeccb5b41016357176b"/>
    <x v="2"/>
    <x v="1"/>
    <n v="1"/>
    <n v="975"/>
    <n v="1"/>
    <n v="975"/>
    <n v="975"/>
    <n v="24"/>
    <n v="25"/>
    <n v="30"/>
    <m/>
    <m/>
    <m/>
    <m/>
    <m/>
    <m/>
    <n v="49.372685185517184"/>
  </r>
  <r>
    <n v="1"/>
    <d v="2015-01-28T21:37:38"/>
    <d v="2015-01-28T22:11:53"/>
    <s v="50905d7b2216bfeccb5b41016357176b"/>
    <x v="2"/>
    <x v="1"/>
    <n v="3"/>
    <n v="1425"/>
    <n v="3"/>
    <n v="175"/>
    <n v="900"/>
    <n v="13"/>
    <n v="12"/>
    <n v="7"/>
    <m/>
    <m/>
    <m/>
    <m/>
    <m/>
    <m/>
    <n v="33.298611112695653"/>
  </r>
  <r>
    <n v="2"/>
    <d v="2015-02-09T20:29:30"/>
    <d v="2015-02-09T21:17:34"/>
    <s v="50905d7b2216bfeccb5b41016357176b"/>
    <x v="6"/>
    <x v="5"/>
    <n v="1"/>
    <n v="1220"/>
    <n v="1"/>
    <n v="825"/>
    <n v="825"/>
    <n v="21"/>
    <n v="21"/>
    <n v="20"/>
    <m/>
    <m/>
    <m/>
    <m/>
    <m/>
    <m/>
    <n v="46.73148148576729"/>
  </r>
  <r>
    <n v="1"/>
    <d v="2015-01-21T20:35:27"/>
    <d v="2015-01-21T21:01:26"/>
    <s v="50905d7b2216bfeccb5b41016357176b"/>
    <x v="2"/>
    <x v="1"/>
    <n v="2"/>
    <n v="1750"/>
    <n v="2"/>
    <n v="825"/>
    <n v="825"/>
    <n v="18"/>
    <n v="18"/>
    <n v="20"/>
    <m/>
    <m/>
    <m/>
    <m/>
    <m/>
    <m/>
    <n v="25.261574071191717"/>
  </r>
  <r>
    <n v="1"/>
    <d v="2015-02-16T19:19:17"/>
    <d v="2015-02-16T20:16:43"/>
    <s v="50905d7b2216bfeccb5b41016357176b"/>
    <x v="2"/>
    <x v="1"/>
    <n v="8"/>
    <n v="7870"/>
    <n v="6"/>
    <n v="825"/>
    <n v="895"/>
    <n v="12"/>
    <n v="11"/>
    <n v="9"/>
    <m/>
    <m/>
    <m/>
    <m/>
    <m/>
    <m/>
    <n v="55.83796296705259"/>
  </r>
  <r>
    <n v="1"/>
    <d v="2015-01-27T20:26:19"/>
    <d v="2015-01-27T21:03:53"/>
    <s v="50905d7b2216bfeccb5b41016357176b"/>
    <x v="2"/>
    <x v="1"/>
    <n v="2"/>
    <n v="1725"/>
    <n v="2"/>
    <n v="825"/>
    <n v="900"/>
    <n v="21"/>
    <n v="18"/>
    <n v="18"/>
    <m/>
    <m/>
    <m/>
    <m/>
    <m/>
    <m/>
    <n v="36.523148139531258"/>
  </r>
  <r>
    <n v="1"/>
    <d v="2015-01-22T20:19:08"/>
    <d v="2015-01-22T21:07:43"/>
    <s v="50905d7b2216bfeccb5b41016357176b"/>
    <x v="2"/>
    <x v="1"/>
    <n v="3"/>
    <n v="2015"/>
    <n v="3"/>
    <n v="395"/>
    <n v="1025"/>
    <n v="22"/>
    <n v="13"/>
    <n v="13"/>
    <m/>
    <m/>
    <m/>
    <m/>
    <m/>
    <m/>
    <n v="47.233796295768116"/>
  </r>
  <r>
    <n v="1"/>
    <d v="2015-02-10T20:05:17"/>
    <d v="2015-02-10T20:34:43"/>
    <s v="50905d7b2216bfeccb5b41016357176b"/>
    <x v="2"/>
    <x v="1"/>
    <n v="1"/>
    <n v="1220"/>
    <n v="1"/>
    <n v="825"/>
    <n v="825"/>
    <n v="21"/>
    <n v="21"/>
    <n v="20"/>
    <m/>
    <m/>
    <m/>
    <m/>
    <m/>
    <m/>
    <n v="28.615740737586748"/>
  </r>
  <r>
    <n v="1"/>
    <d v="2015-01-27T18:32:58"/>
    <d v="2015-01-27T19:02:09"/>
    <s v="197e342c9fbad962dbe6d3322f723ca6"/>
    <x v="7"/>
    <x v="3"/>
    <n v="2"/>
    <n v="595"/>
    <n v="2"/>
    <n v="200"/>
    <n v="295"/>
    <n v="5"/>
    <n v="1"/>
    <n v="1"/>
    <m/>
    <m/>
    <m/>
    <m/>
    <m/>
    <m/>
    <n v="28.372685186332092"/>
  </r>
  <r>
    <n v="4"/>
    <d v="2015-02-07T01:36:34"/>
    <d v="2015-02-07T02:46:27"/>
    <s v="ea119a40c1592979f51819b0bd38d39d"/>
    <x v="4"/>
    <x v="0"/>
    <n v="4"/>
    <n v="5500"/>
    <n v="4"/>
    <n v="700"/>
    <n v="1900"/>
    <n v="117"/>
    <n v="112"/>
    <n v="178"/>
    <m/>
    <m/>
    <m/>
    <m/>
    <m/>
    <m/>
    <n v="67.942129631410353"/>
  </r>
  <r>
    <n v="4"/>
    <d v="2015-02-14T03:04:07"/>
    <d v="2015-02-14T04:25:25"/>
    <s v="ea119a40c1592979f51819b0bd38d39d"/>
    <x v="4"/>
    <x v="0"/>
    <n v="5"/>
    <n v="5400"/>
    <n v="3"/>
    <n v="600"/>
    <n v="2200"/>
    <n v="130"/>
    <n v="129"/>
    <n v="230"/>
    <m/>
    <m/>
    <m/>
    <m/>
    <m/>
    <m/>
    <n v="79.041666665580124"/>
  </r>
  <r>
    <n v="4"/>
    <d v="2015-02-08T02:50:54"/>
    <d v="2015-02-08T04:03:49"/>
    <s v="ea119a40c1592979f51819b0bd38d39d"/>
    <x v="4"/>
    <x v="0"/>
    <n v="4"/>
    <n v="7104"/>
    <n v="3"/>
    <n v="751"/>
    <n v="2191"/>
    <n v="121"/>
    <n v="119"/>
    <n v="205"/>
    <m/>
    <m/>
    <m/>
    <m/>
    <m/>
    <m/>
    <n v="70.8912037021946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d v="2015-02-06T22:24:17"/>
    <d v="2015-02-06T23:27:16"/>
    <s v="df263d996281d984952c07998dc54358"/>
    <s v="american"/>
    <n v="1"/>
    <n v="4"/>
    <n v="3441"/>
    <n v="4"/>
    <n v="557"/>
    <n v="1239"/>
    <n v="33"/>
    <n v="14"/>
    <n v="21"/>
    <m/>
    <m/>
    <m/>
    <n v="1"/>
    <n v="27"/>
    <m/>
    <n v="61.23379628843395"/>
    <x v="0"/>
  </r>
  <r>
    <n v="2"/>
    <d v="2015-02-10T21:49:25"/>
    <d v="2015-02-10T22:56:29"/>
    <s v="f0ade77b43923b38237db569b016ba25"/>
    <s v="mexican"/>
    <n v="2"/>
    <n v="1"/>
    <n v="1900"/>
    <n v="1"/>
    <n v="1400"/>
    <n v="1400"/>
    <n v="1"/>
    <n v="2"/>
    <n v="2"/>
    <m/>
    <m/>
    <m/>
    <n v="2"/>
    <n v="3"/>
    <m/>
    <n v="65.20370370708406"/>
    <x v="1"/>
  </r>
  <r>
    <n v="3"/>
    <d v="2015-01-22T20:39:28"/>
    <d v="2015-01-22T21:09:09"/>
    <s v="f0ade77b43923b38237db569b016ba25"/>
    <s v="NA"/>
    <n v="1"/>
    <n v="1"/>
    <n v="1900"/>
    <n v="1"/>
    <n v="1900"/>
    <n v="1900"/>
    <n v="1"/>
    <n v="0"/>
    <n v="0"/>
    <m/>
    <m/>
    <m/>
    <n v="3"/>
    <n v="12"/>
    <m/>
    <n v="28.858796299027745"/>
    <x v="2"/>
  </r>
  <r>
    <n v="3"/>
    <d v="2015-02-03T21:21:45"/>
    <d v="2015-02-03T22:13:00"/>
    <s v="f0ade77b43923b38237db569b016ba25"/>
    <s v="NA"/>
    <n v="1"/>
    <n v="6"/>
    <n v="6900"/>
    <n v="5"/>
    <n v="600"/>
    <n v="1800"/>
    <n v="1"/>
    <n v="1"/>
    <n v="2"/>
    <m/>
    <m/>
    <m/>
    <n v="4"/>
    <n v="3"/>
    <m/>
    <n v="49.826388883229811"/>
    <x v="1"/>
  </r>
  <r>
    <n v="3"/>
    <d v="2015-02-15T02:40:36"/>
    <d v="2015-02-15T03:20:26"/>
    <s v="f0ade77b43923b38237db569b016ba25"/>
    <s v="NA"/>
    <n v="1"/>
    <n v="3"/>
    <n v="3900"/>
    <n v="3"/>
    <n v="1100"/>
    <n v="1600"/>
    <n v="6"/>
    <n v="6"/>
    <n v="9"/>
    <m/>
    <m/>
    <m/>
    <m/>
    <m/>
    <m/>
    <n v="38.72685184906004"/>
    <x v="3"/>
  </r>
  <r>
    <n v="3"/>
    <d v="2015-01-28T20:30:38"/>
    <d v="2015-01-28T21:08:58"/>
    <s v="f0ade77b43923b38237db569b016ba25"/>
    <s v="NA"/>
    <n v="1"/>
    <n v="3"/>
    <n v="5000"/>
    <n v="3"/>
    <n v="1500"/>
    <n v="1900"/>
    <n v="2"/>
    <n v="2"/>
    <n v="2"/>
    <m/>
    <m/>
    <m/>
    <m/>
    <m/>
    <m/>
    <n v="37.268518521159422"/>
    <x v="2"/>
  </r>
  <r>
    <n v="3"/>
    <d v="2015-01-31T02:16:36"/>
    <d v="2015-01-31T02:43:00"/>
    <s v="f0ade77b43923b38237db569b016ba25"/>
    <s v="NA"/>
    <n v="1"/>
    <n v="2"/>
    <n v="3900"/>
    <n v="2"/>
    <n v="1200"/>
    <n v="2700"/>
    <n v="10"/>
    <n v="9"/>
    <n v="9"/>
    <m/>
    <m/>
    <m/>
    <m/>
    <m/>
    <m/>
    <n v="25.666666666802485"/>
    <x v="3"/>
  </r>
  <r>
    <n v="3"/>
    <d v="2015-02-12T03:03:35"/>
    <d v="2015-02-12T03:36:20"/>
    <s v="f0ade77b43923b38237db569b016ba25"/>
    <s v="NA"/>
    <n v="1"/>
    <n v="4"/>
    <n v="4850"/>
    <n v="4"/>
    <n v="750"/>
    <n v="1800"/>
    <n v="7"/>
    <n v="8"/>
    <n v="7"/>
    <m/>
    <m/>
    <m/>
    <m/>
    <m/>
    <m/>
    <n v="31.840277774608694"/>
    <x v="4"/>
  </r>
  <r>
    <n v="2"/>
    <d v="2015-02-16T00:11:35"/>
    <d v="2015-02-16T00:38:01"/>
    <s v="f0ade77b43923b38237db569b016ba25"/>
    <s v="indian"/>
    <n v="3"/>
    <n v="4"/>
    <n v="4771"/>
    <n v="3"/>
    <n v="820"/>
    <n v="1604"/>
    <n v="8"/>
    <n v="6"/>
    <n v="18"/>
    <m/>
    <m/>
    <m/>
    <m/>
    <m/>
    <m/>
    <n v="25.699074071599171"/>
    <x v="5"/>
  </r>
  <r>
    <n v="3"/>
    <d v="2015-02-18T01:15:45"/>
    <d v="2015-02-18T02:08:57"/>
    <s v="f0ade77b43923b38237db569b016ba25"/>
    <s v="NA"/>
    <n v="1"/>
    <n v="2"/>
    <n v="2100"/>
    <n v="2"/>
    <n v="700"/>
    <n v="1200"/>
    <n v="2"/>
    <n v="2"/>
    <n v="2"/>
    <m/>
    <m/>
    <m/>
    <m/>
    <m/>
    <m/>
    <n v="51.722222221724223"/>
    <x v="6"/>
  </r>
  <r>
    <n v="3"/>
    <d v="2015-02-02T19:22:53"/>
    <d v="2015-02-02T20:09:19"/>
    <s v="f0ade77b43923b38237db569b016ba25"/>
    <s v="NA"/>
    <n v="4"/>
    <n v="4"/>
    <n v="4300"/>
    <n v="4"/>
    <n v="1200"/>
    <n v="1500"/>
    <n v="1"/>
    <n v="1"/>
    <n v="1"/>
    <m/>
    <m/>
    <m/>
    <m/>
    <m/>
    <m/>
    <n v="45.143518518307246"/>
    <x v="7"/>
  </r>
  <r>
    <n v="3"/>
    <d v="2015-02-16T04:19:33"/>
    <d v="2015-02-16T06:34:00"/>
    <s v="f0ade77b43923b38237db569b016ba25"/>
    <s v="NA"/>
    <n v="1"/>
    <n v="2"/>
    <n v="2200"/>
    <n v="2"/>
    <n v="600"/>
    <n v="1600"/>
    <n v="3"/>
    <n v="3"/>
    <n v="4"/>
    <m/>
    <m/>
    <m/>
    <m/>
    <m/>
    <m/>
    <n v="130.71527777501615"/>
    <x v="8"/>
  </r>
  <r>
    <n v="3"/>
    <d v="2015-02-07T01:34:31"/>
    <d v="2015-02-07T02:17:14"/>
    <s v="f0ade77b43923b38237db569b016ba25"/>
    <s v="NA"/>
    <n v="1"/>
    <n v="1"/>
    <n v="1900"/>
    <n v="1"/>
    <n v="1900"/>
    <n v="1900"/>
    <n v="6"/>
    <n v="3"/>
    <n v="3"/>
    <m/>
    <m/>
    <m/>
    <m/>
    <m/>
    <m/>
    <n v="41.530092593166046"/>
    <x v="6"/>
  </r>
  <r>
    <n v="3"/>
    <d v="2015-01-25T01:50:51"/>
    <d v="2015-01-25T02:28:53"/>
    <s v="f0ade77b43923b38237db569b016ba25"/>
    <s v="NA"/>
    <n v="4"/>
    <n v="4"/>
    <n v="4986"/>
    <n v="4"/>
    <n v="699"/>
    <n v="2362"/>
    <n v="16"/>
    <n v="6"/>
    <n v="9"/>
    <m/>
    <m/>
    <m/>
    <m/>
    <m/>
    <m/>
    <n v="36.976851847430225"/>
    <x v="6"/>
  </r>
  <r>
    <n v="1"/>
    <d v="2015-02-12T03:36:46"/>
    <d v="2015-02-12T04:14:39"/>
    <s v="ef1e491a766ce3127556063d49bc2f98"/>
    <s v="italian"/>
    <n v="1"/>
    <n v="1"/>
    <n v="1525"/>
    <n v="1"/>
    <n v="1525"/>
    <n v="1525"/>
    <n v="5"/>
    <n v="6"/>
    <n v="8"/>
    <m/>
    <m/>
    <m/>
    <m/>
    <m/>
    <m/>
    <n v="36.831018510565627"/>
    <x v="4"/>
  </r>
  <r>
    <n v="1"/>
    <d v="2015-01-27T02:12:36"/>
    <d v="2015-01-27T03:02:24"/>
    <s v="ef1e491a766ce3127556063d49bc2f98"/>
    <s v="italian"/>
    <n v="1"/>
    <n v="2"/>
    <n v="3620"/>
    <n v="2"/>
    <n v="1425"/>
    <n v="2195"/>
    <n v="5"/>
    <n v="5"/>
    <n v="7"/>
    <m/>
    <m/>
    <m/>
    <m/>
    <m/>
    <m/>
    <n v="48.416666657431051"/>
    <x v="3"/>
  </r>
  <r>
    <n v="1"/>
    <d v="2015-02-06T00:42:42"/>
    <d v="2015-02-06T02:10:29"/>
    <s v="ef1e491a766ce3127556063d49bc2f98"/>
    <s v="italian"/>
    <n v="1"/>
    <n v="3"/>
    <n v="4475"/>
    <n v="3"/>
    <n v="925"/>
    <n v="1825"/>
    <n v="4"/>
    <n v="1"/>
    <n v="1"/>
    <m/>
    <m/>
    <m/>
    <m/>
    <m/>
    <m/>
    <n v="85.344907412945759"/>
    <x v="5"/>
  </r>
  <r>
    <n v="1"/>
    <d v="2015-02-08T02:04:17"/>
    <d v="2015-02-08T03:27:13"/>
    <s v="ef1e491a766ce3127556063d49bc2f98"/>
    <s v="italian"/>
    <n v="1"/>
    <n v="3"/>
    <n v="4375"/>
    <n v="3"/>
    <n v="1325"/>
    <n v="1625"/>
    <n v="6"/>
    <n v="4"/>
    <n v="3"/>
    <m/>
    <m/>
    <m/>
    <m/>
    <m/>
    <m/>
    <n v="80.629629633040167"/>
    <x v="3"/>
  </r>
  <r>
    <n v="1"/>
    <d v="2015-01-31T04:35:54"/>
    <d v="2015-01-31T05:47:30"/>
    <s v="ef1e491a766ce3127556063d49bc2f98"/>
    <s v="italian"/>
    <n v="1"/>
    <n v="2"/>
    <n v="3150"/>
    <n v="2"/>
    <n v="1425"/>
    <n v="1725"/>
    <n v="4"/>
    <n v="9"/>
    <n v="12"/>
    <m/>
    <m/>
    <m/>
    <m/>
    <m/>
    <m/>
    <n v="69.611111115955282"/>
    <x v="8"/>
  </r>
  <r>
    <n v="1"/>
    <d v="2015-01-31T02:21:23"/>
    <d v="2015-01-31T03:11:42"/>
    <s v="ce016f59ecc2366a43e1c96a4774d167"/>
    <s v="mexican"/>
    <n v="1"/>
    <n v="2"/>
    <n v="950"/>
    <n v="2"/>
    <n v="150"/>
    <n v="700"/>
    <n v="24"/>
    <n v="24"/>
    <n v="26"/>
    <m/>
    <m/>
    <m/>
    <m/>
    <m/>
    <m/>
    <n v="48.918981477618217"/>
    <x v="3"/>
  </r>
  <r>
    <n v="1"/>
    <d v="2015-01-31T23:45:12"/>
    <d v="2015-02-01T00:14:05"/>
    <s v="ce016f59ecc2366a43e1c96a4774d167"/>
    <s v="mexican"/>
    <n v="1"/>
    <n v="5"/>
    <n v="1285"/>
    <n v="3"/>
    <n v="150"/>
    <n v="400"/>
    <n v="12"/>
    <n v="13"/>
    <n v="11"/>
    <m/>
    <m/>
    <m/>
    <m/>
    <m/>
    <m/>
    <n v="28.081018522789236"/>
    <x v="9"/>
  </r>
  <r>
    <n v="1"/>
    <d v="2015-02-17T03:13:20"/>
    <d v="2015-02-17T04:00:31"/>
    <s v="e8542a04d734d0cae36d648b3f519e5c"/>
    <s v="italian"/>
    <n v="1"/>
    <n v="4"/>
    <n v="5800"/>
    <n v="4"/>
    <n v="700"/>
    <n v="2000"/>
    <n v="19"/>
    <n v="19"/>
    <n v="30"/>
    <m/>
    <m/>
    <m/>
    <m/>
    <m/>
    <m/>
    <n v="45.872685182257555"/>
    <x v="4"/>
  </r>
  <r>
    <n v="1"/>
    <d v="2015-02-15T01:26:20"/>
    <d v="2015-02-15T02:16:07"/>
    <s v="e8542a04d734d0cae36d648b3f519e5c"/>
    <s v="italian"/>
    <n v="1"/>
    <n v="2"/>
    <n v="2800"/>
    <n v="2"/>
    <n v="1200"/>
    <n v="1600"/>
    <n v="21"/>
    <n v="17"/>
    <n v="16"/>
    <m/>
    <m/>
    <m/>
    <m/>
    <m/>
    <m/>
    <n v="48.400462960125878"/>
    <x v="6"/>
  </r>
  <r>
    <n v="1"/>
    <d v="2015-02-02T05:27:49"/>
    <d v="2015-02-02T07:05:09"/>
    <s v="e8542a04d734d0cae36d648b3f519e5c"/>
    <s v="italian"/>
    <n v="1"/>
    <n v="7"/>
    <n v="14900"/>
    <n v="5"/>
    <n v="1200"/>
    <n v="3900"/>
    <n v="8"/>
    <n v="11"/>
    <n v="11"/>
    <m/>
    <m/>
    <m/>
    <m/>
    <m/>
    <m/>
    <n v="94.629629625706002"/>
    <x v="10"/>
  </r>
  <r>
    <n v="1"/>
    <d v="2015-02-16T02:21:20"/>
    <d v="2015-02-16T03:54:14"/>
    <s v="e8542a04d734d0cae36d648b3f519e5c"/>
    <s v="italian"/>
    <n v="1"/>
    <n v="3"/>
    <n v="3400"/>
    <n v="3"/>
    <n v="1400"/>
    <n v="2100"/>
    <n v="22"/>
    <n v="21"/>
    <n v="39"/>
    <m/>
    <m/>
    <m/>
    <m/>
    <m/>
    <m/>
    <n v="90.319444441411179"/>
    <x v="3"/>
  </r>
  <r>
    <n v="1"/>
    <d v="2015-02-13T01:01:58"/>
    <d v="2015-02-13T01:40:09"/>
    <s v="e8542a04d734d0cae36d648b3f519e5c"/>
    <s v="italian"/>
    <n v="1"/>
    <n v="3"/>
    <n v="3800"/>
    <n v="3"/>
    <n v="700"/>
    <n v="1600"/>
    <n v="16"/>
    <n v="9"/>
    <n v="7"/>
    <m/>
    <m/>
    <m/>
    <m/>
    <m/>
    <m/>
    <n v="37.122685194481164"/>
    <x v="6"/>
  </r>
  <r>
    <n v="1"/>
    <d v="2015-01-24T02:01:20"/>
    <d v="2015-01-24T02:46:13"/>
    <s v="e8542a04d734d0cae36d648b3f519e5c"/>
    <s v="italian"/>
    <n v="1"/>
    <n v="1"/>
    <n v="1800"/>
    <n v="1"/>
    <n v="1800"/>
    <n v="1800"/>
    <n v="27"/>
    <n v="25"/>
    <n v="24"/>
    <m/>
    <m/>
    <m/>
    <m/>
    <m/>
    <m/>
    <n v="43.636574078118429"/>
    <x v="3"/>
  </r>
  <r>
    <n v="1"/>
    <d v="2015-02-10T04:36:39"/>
    <d v="2015-02-10T05:20:37"/>
    <s v="e8542a04d734d0cae36d648b3f519e5c"/>
    <s v="italian"/>
    <n v="1"/>
    <n v="4"/>
    <n v="5800"/>
    <n v="4"/>
    <n v="700"/>
    <n v="2000"/>
    <n v="13"/>
    <n v="16"/>
    <n v="27"/>
    <m/>
    <m/>
    <m/>
    <m/>
    <m/>
    <m/>
    <n v="42.745370369812008"/>
    <x v="8"/>
  </r>
  <r>
    <n v="1"/>
    <d v="2015-01-26T02:09:48"/>
    <d v="2015-01-26T02:47:22"/>
    <s v="e8542a04d734d0cae36d648b3f519e5c"/>
    <s v="italian"/>
    <n v="1"/>
    <n v="3"/>
    <n v="3800"/>
    <n v="3"/>
    <n v="800"/>
    <n v="1800"/>
    <n v="21"/>
    <n v="18"/>
    <n v="20"/>
    <m/>
    <m/>
    <m/>
    <m/>
    <m/>
    <m/>
    <n v="36.523148149717599"/>
    <x v="3"/>
  </r>
  <r>
    <n v="1"/>
    <d v="2015-02-07T01:44:26"/>
    <d v="2015-02-07T02:48:06"/>
    <s v="e8542a04d734d0cae36d648b3f519e5c"/>
    <s v="italian"/>
    <n v="1"/>
    <n v="1"/>
    <n v="1800"/>
    <n v="1"/>
    <n v="1800"/>
    <n v="1800"/>
    <n v="22"/>
    <n v="21"/>
    <n v="20"/>
    <m/>
    <m/>
    <m/>
    <m/>
    <m/>
    <m/>
    <n v="61.898148152977228"/>
    <x v="6"/>
  </r>
  <r>
    <n v="1"/>
    <d v="2015-01-30T01:43:09"/>
    <d v="2015-01-30T02:20:42"/>
    <s v="e8542a04d734d0cae36d648b3f519e5c"/>
    <s v="italian"/>
    <n v="1"/>
    <n v="2"/>
    <n v="2700"/>
    <n v="2"/>
    <n v="1200"/>
    <n v="1500"/>
    <n v="16"/>
    <n v="16"/>
    <n v="13"/>
    <m/>
    <m/>
    <m/>
    <m/>
    <m/>
    <m/>
    <n v="36.506944442226086"/>
    <x v="6"/>
  </r>
  <r>
    <n v="3"/>
    <d v="2015-01-30T19:49:30"/>
    <d v="2015-01-30T20:28:45"/>
    <s v="50905d7b2216bfeccb5b41016357176b"/>
    <s v="sandwich"/>
    <n v="2"/>
    <n v="4"/>
    <n v="3490"/>
    <n v="3"/>
    <n v="175"/>
    <n v="850"/>
    <n v="16"/>
    <n v="16"/>
    <n v="21"/>
    <m/>
    <m/>
    <m/>
    <m/>
    <m/>
    <m/>
    <n v="38.159722219279502"/>
    <x v="7"/>
  </r>
  <r>
    <n v="1"/>
    <d v="2015-01-28T20:33:04"/>
    <d v="2015-01-28T21:04:14"/>
    <s v="50905d7b2216bfeccb5b41016357176b"/>
    <s v="NA"/>
    <m/>
    <n v="3"/>
    <n v="1765"/>
    <n v="3"/>
    <n v="275"/>
    <n v="895"/>
    <n v="22"/>
    <n v="21"/>
    <n v="24"/>
    <m/>
    <m/>
    <m/>
    <m/>
    <m/>
    <m/>
    <n v="30.30092592962319"/>
    <x v="2"/>
  </r>
  <r>
    <n v="1"/>
    <d v="2015-02-12T20:27:42"/>
    <d v="2015-02-12T21:18:29"/>
    <s v="50905d7b2216bfeccb5b41016357176b"/>
    <s v="NA"/>
    <n v="2"/>
    <n v="1"/>
    <n v="975"/>
    <n v="1"/>
    <n v="975"/>
    <n v="975"/>
    <n v="24"/>
    <n v="25"/>
    <n v="30"/>
    <m/>
    <m/>
    <m/>
    <m/>
    <m/>
    <m/>
    <n v="49.372685185517184"/>
    <x v="2"/>
  </r>
  <r>
    <n v="1"/>
    <d v="2015-01-28T21:37:38"/>
    <d v="2015-01-28T22:11:53"/>
    <s v="50905d7b2216bfeccb5b41016357176b"/>
    <s v="NA"/>
    <n v="2"/>
    <n v="3"/>
    <n v="1425"/>
    <n v="3"/>
    <n v="175"/>
    <n v="900"/>
    <n v="13"/>
    <n v="12"/>
    <n v="7"/>
    <m/>
    <m/>
    <m/>
    <m/>
    <m/>
    <m/>
    <n v="33.298611112695653"/>
    <x v="1"/>
  </r>
  <r>
    <n v="2"/>
    <d v="2015-02-09T20:29:30"/>
    <d v="2015-02-09T21:17:34"/>
    <s v="50905d7b2216bfeccb5b41016357176b"/>
    <s v="thai"/>
    <n v="5"/>
    <n v="1"/>
    <n v="1220"/>
    <n v="1"/>
    <n v="825"/>
    <n v="825"/>
    <n v="21"/>
    <n v="21"/>
    <n v="20"/>
    <m/>
    <m/>
    <m/>
    <m/>
    <m/>
    <m/>
    <n v="46.73148148576729"/>
    <x v="2"/>
  </r>
  <r>
    <n v="1"/>
    <d v="2015-01-21T20:35:27"/>
    <d v="2015-01-21T21:01:26"/>
    <s v="50905d7b2216bfeccb5b41016357176b"/>
    <s v="NA"/>
    <n v="2"/>
    <n v="2"/>
    <n v="1750"/>
    <n v="2"/>
    <n v="825"/>
    <n v="825"/>
    <n v="18"/>
    <n v="18"/>
    <n v="20"/>
    <m/>
    <m/>
    <m/>
    <m/>
    <m/>
    <m/>
    <n v="25.261574071191717"/>
    <x v="2"/>
  </r>
  <r>
    <n v="1"/>
    <d v="2015-02-16T19:19:17"/>
    <d v="2015-02-16T20:16:43"/>
    <s v="50905d7b2216bfeccb5b41016357176b"/>
    <s v="NA"/>
    <n v="2"/>
    <n v="8"/>
    <n v="7870"/>
    <n v="6"/>
    <n v="825"/>
    <n v="895"/>
    <n v="12"/>
    <n v="11"/>
    <n v="9"/>
    <m/>
    <m/>
    <m/>
    <m/>
    <m/>
    <m/>
    <n v="55.83796296705259"/>
    <x v="7"/>
  </r>
  <r>
    <n v="1"/>
    <d v="2015-01-27T20:26:19"/>
    <d v="2015-01-27T21:03:53"/>
    <s v="50905d7b2216bfeccb5b41016357176b"/>
    <s v="NA"/>
    <n v="2"/>
    <n v="2"/>
    <n v="1725"/>
    <n v="2"/>
    <n v="825"/>
    <n v="900"/>
    <n v="21"/>
    <n v="18"/>
    <n v="18"/>
    <m/>
    <m/>
    <m/>
    <m/>
    <m/>
    <m/>
    <n v="36.523148139531258"/>
    <x v="2"/>
  </r>
  <r>
    <n v="1"/>
    <d v="2015-01-22T20:19:08"/>
    <d v="2015-01-22T21:07:43"/>
    <s v="50905d7b2216bfeccb5b41016357176b"/>
    <s v="NA"/>
    <n v="2"/>
    <n v="3"/>
    <n v="2015"/>
    <n v="3"/>
    <n v="395"/>
    <n v="1025"/>
    <n v="22"/>
    <n v="13"/>
    <n v="13"/>
    <m/>
    <m/>
    <m/>
    <m/>
    <m/>
    <m/>
    <n v="47.233796295768116"/>
    <x v="2"/>
  </r>
  <r>
    <n v="1"/>
    <d v="2015-02-10T20:05:17"/>
    <d v="2015-02-10T20:34:43"/>
    <s v="50905d7b2216bfeccb5b41016357176b"/>
    <s v="NA"/>
    <n v="2"/>
    <n v="1"/>
    <n v="1220"/>
    <n v="1"/>
    <n v="825"/>
    <n v="825"/>
    <n v="21"/>
    <n v="21"/>
    <n v="20"/>
    <m/>
    <m/>
    <m/>
    <m/>
    <m/>
    <m/>
    <n v="28.615740737586748"/>
    <x v="2"/>
  </r>
  <r>
    <n v="1"/>
    <d v="2015-01-27T18:32:58"/>
    <d v="2015-01-27T19:02:09"/>
    <s v="197e342c9fbad962dbe6d3322f723ca6"/>
    <s v="cafe"/>
    <n v="4"/>
    <n v="2"/>
    <n v="595"/>
    <n v="2"/>
    <n v="200"/>
    <n v="295"/>
    <n v="5"/>
    <n v="1"/>
    <n v="1"/>
    <m/>
    <m/>
    <m/>
    <m/>
    <m/>
    <m/>
    <n v="28.372685186332092"/>
    <x v="11"/>
  </r>
  <r>
    <n v="4"/>
    <d v="2015-02-07T01:36:34"/>
    <d v="2015-02-07T02:46:27"/>
    <s v="ea119a40c1592979f51819b0bd38d39d"/>
    <s v="italian"/>
    <n v="1"/>
    <n v="4"/>
    <n v="5500"/>
    <n v="4"/>
    <n v="700"/>
    <n v="1900"/>
    <n v="117"/>
    <n v="112"/>
    <n v="178"/>
    <m/>
    <m/>
    <m/>
    <m/>
    <m/>
    <m/>
    <n v="67.942129631410353"/>
    <x v="6"/>
  </r>
  <r>
    <n v="4"/>
    <d v="2015-02-14T03:04:07"/>
    <d v="2015-02-14T04:25:25"/>
    <s v="ea119a40c1592979f51819b0bd38d39d"/>
    <s v="italian"/>
    <n v="1"/>
    <n v="5"/>
    <n v="5400"/>
    <n v="3"/>
    <n v="600"/>
    <n v="2200"/>
    <n v="130"/>
    <n v="129"/>
    <n v="230"/>
    <m/>
    <m/>
    <m/>
    <m/>
    <m/>
    <m/>
    <n v="79.041666665580124"/>
    <x v="4"/>
  </r>
  <r>
    <n v="4"/>
    <d v="2015-02-08T02:50:54"/>
    <d v="2015-02-08T04:03:49"/>
    <s v="ea119a40c1592979f51819b0bd38d39d"/>
    <s v="italian"/>
    <n v="1"/>
    <n v="4"/>
    <n v="7104"/>
    <n v="3"/>
    <n v="751"/>
    <n v="2191"/>
    <n v="121"/>
    <n v="119"/>
    <n v="205"/>
    <m/>
    <m/>
    <m/>
    <m/>
    <m/>
    <m/>
    <n v="70.891203702194616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d v="2015-01-21T20:35:27"/>
    <d v="2015-01-21T21:01:26"/>
    <x v="0"/>
    <x v="0"/>
    <n v="2"/>
    <n v="2"/>
    <n v="1750"/>
    <n v="2"/>
    <n v="825"/>
    <n v="825"/>
    <n v="18"/>
    <n v="18"/>
    <n v="20"/>
    <m/>
    <m/>
    <m/>
    <n v="1"/>
    <n v="27"/>
    <m/>
    <n v="25.261574071191717"/>
    <n v="20"/>
    <m/>
    <s v="Wednesday"/>
    <s v="Monday"/>
    <n v="8"/>
    <m/>
    <n v="0.78369900049790808"/>
    <m/>
    <n v="-25.983333330368623"/>
    <n v="0.15555555555555556"/>
    <m/>
    <m/>
    <n v="0.19193581905596047"/>
    <m/>
    <m/>
    <m/>
    <m/>
    <m/>
    <n v="4"/>
    <n v="3441"/>
    <m/>
    <m/>
    <m/>
    <m/>
    <m/>
    <m/>
    <m/>
    <m/>
    <n v="45"/>
    <m/>
    <m/>
    <x v="0"/>
    <n v="51.27962962910533"/>
    <x v="0"/>
  </r>
  <r>
    <n v="1"/>
    <d v="2015-01-22T20:19:08"/>
    <d v="2015-01-22T21:07:43"/>
    <x v="0"/>
    <x v="0"/>
    <n v="2"/>
    <n v="3"/>
    <n v="2015"/>
    <n v="3"/>
    <n v="395"/>
    <n v="1025"/>
    <n v="22"/>
    <n v="13"/>
    <n v="13"/>
    <m/>
    <m/>
    <m/>
    <n v="2"/>
    <n v="3"/>
    <m/>
    <n v="47.233796295768116"/>
    <n v="20"/>
    <m/>
    <s v="Thursday"/>
    <s v="Tuesday"/>
    <n v="8"/>
    <m/>
    <n v="0.78177412843006122"/>
    <m/>
    <n v="-48.583333332790062"/>
    <n v="0.13636363636363635"/>
    <m/>
    <m/>
    <n v="0.19242289195524179"/>
    <m/>
    <m/>
    <m/>
    <m/>
    <m/>
    <n v="1"/>
    <n v="1900"/>
    <m/>
    <m/>
    <m/>
    <s v="total_items"/>
    <s v="subtotal"/>
    <m/>
    <m/>
    <m/>
    <n v="44"/>
    <m/>
    <m/>
    <x v="1"/>
    <n v="51.854545454076622"/>
    <x v="1"/>
  </r>
  <r>
    <n v="3"/>
    <d v="2015-01-22T20:39:28"/>
    <d v="2015-01-22T21:09:09"/>
    <x v="1"/>
    <x v="0"/>
    <n v="1"/>
    <n v="1"/>
    <n v="1900"/>
    <n v="1"/>
    <n v="1900"/>
    <n v="1900"/>
    <n v="1"/>
    <n v="0"/>
    <n v="0"/>
    <m/>
    <m/>
    <m/>
    <n v="3"/>
    <n v="12"/>
    <m/>
    <n v="28.858796299027745"/>
    <n v="20"/>
    <m/>
    <s v="Thursday"/>
    <s v="Wednesday"/>
    <n v="4"/>
    <m/>
    <n v="0.78589053686602217"/>
    <m/>
    <n v="-29.683333336142823"/>
    <n v="0.13953488372093023"/>
    <m/>
    <m/>
    <n v="0.19263864415133253"/>
    <m/>
    <m/>
    <m/>
    <m/>
    <m/>
    <n v="1"/>
    <n v="1900"/>
    <m/>
    <m/>
    <s v="total_items"/>
    <n v="1"/>
    <m/>
    <m/>
    <m/>
    <m/>
    <n v="43"/>
    <m/>
    <m/>
    <x v="2"/>
    <n v="51.930620154571656"/>
    <x v="1"/>
  </r>
  <r>
    <n v="1"/>
    <d v="2015-01-24T02:01:20"/>
    <d v="2015-01-24T02:46:13"/>
    <x v="2"/>
    <x v="1"/>
    <n v="1"/>
    <n v="1"/>
    <n v="1800"/>
    <n v="1"/>
    <n v="1800"/>
    <n v="1800"/>
    <n v="27"/>
    <n v="25"/>
    <n v="24"/>
    <m/>
    <m/>
    <m/>
    <n v="4"/>
    <n v="3"/>
    <m/>
    <n v="43.636574078118429"/>
    <n v="2"/>
    <m/>
    <s v="Saturday"/>
    <s v="Thursday"/>
    <n v="3"/>
    <m/>
    <n v="0.78409990816454578"/>
    <m/>
    <n v="-44.883333337493241"/>
    <n v="0.11904761904761904"/>
    <m/>
    <m/>
    <n v="0.17805092057839134"/>
    <m/>
    <m/>
    <m/>
    <m/>
    <m/>
    <n v="6"/>
    <n v="6900"/>
    <m/>
    <m/>
    <s v="subtotal"/>
    <n v="0.78369900049790797"/>
    <n v="1"/>
    <m/>
    <m/>
    <m/>
    <n v="42"/>
    <m/>
    <m/>
    <x v="3"/>
    <n v="52.460317459772341"/>
    <x v="2"/>
  </r>
  <r>
    <n v="3"/>
    <d v="2015-01-25T01:50:51"/>
    <d v="2015-01-25T02:28:53"/>
    <x v="1"/>
    <x v="0"/>
    <n v="4"/>
    <n v="4"/>
    <n v="4986"/>
    <n v="4"/>
    <n v="699"/>
    <n v="2362"/>
    <n v="16"/>
    <n v="6"/>
    <n v="9"/>
    <m/>
    <m/>
    <m/>
    <m/>
    <m/>
    <m/>
    <n v="36.976851847430225"/>
    <n v="1"/>
    <m/>
    <s v="Sunday"/>
    <s v="Friday"/>
    <n v="5"/>
    <m/>
    <n v="0.7815829881077393"/>
    <m/>
    <n v="-38.033333328785375"/>
    <n v="0.12195121951219512"/>
    <m/>
    <m/>
    <n v="0.18776005471996854"/>
    <m/>
    <m/>
    <m/>
    <m/>
    <m/>
    <n v="3"/>
    <n v="3900"/>
    <m/>
    <m/>
    <m/>
    <m/>
    <m/>
    <m/>
    <m/>
    <m/>
    <n v="41"/>
    <m/>
    <m/>
    <x v="4"/>
    <n v="52.645121950559634"/>
    <x v="3"/>
  </r>
  <r>
    <n v="1"/>
    <d v="2015-01-26T02:09:48"/>
    <d v="2015-01-26T02:47:22"/>
    <x v="2"/>
    <x v="1"/>
    <n v="1"/>
    <n v="3"/>
    <n v="3800"/>
    <n v="3"/>
    <n v="800"/>
    <n v="1800"/>
    <n v="21"/>
    <n v="18"/>
    <n v="20"/>
    <m/>
    <m/>
    <m/>
    <m/>
    <m/>
    <m/>
    <n v="36.523148149717599"/>
    <n v="2"/>
    <m/>
    <s v="Monday"/>
    <s v="Saturday"/>
    <n v="8"/>
    <m/>
    <n v="0.78005106263545254"/>
    <m/>
    <n v="-37.566666668280959"/>
    <n v="0.125"/>
    <m/>
    <m/>
    <n v="0.1956533588698697"/>
    <m/>
    <m/>
    <m/>
    <m/>
    <m/>
    <n v="3"/>
    <n v="5000"/>
    <m/>
    <m/>
    <m/>
    <m/>
    <m/>
    <m/>
    <m/>
    <m/>
    <n v="40"/>
    <m/>
    <m/>
    <x v="5"/>
    <n v="53.010416666103993"/>
    <x v="4"/>
  </r>
  <r>
    <n v="1"/>
    <d v="2015-01-27T02:12:36"/>
    <d v="2015-01-27T03:02:24"/>
    <x v="3"/>
    <x v="1"/>
    <n v="1"/>
    <n v="2"/>
    <n v="3620"/>
    <n v="2"/>
    <n v="1425"/>
    <n v="2195"/>
    <n v="5"/>
    <n v="5"/>
    <n v="7"/>
    <m/>
    <m/>
    <m/>
    <m/>
    <m/>
    <m/>
    <n v="48.416666657431051"/>
    <n v="2"/>
    <m/>
    <s v="Tuesday"/>
    <s v="Sunday"/>
    <n v="4"/>
    <m/>
    <n v="0.78008846561065537"/>
    <m/>
    <n v="-49.79999999050051"/>
    <n v="0.12820512820512819"/>
    <m/>
    <m/>
    <n v="0.19564127750799026"/>
    <m/>
    <m/>
    <m/>
    <m/>
    <m/>
    <n v="2"/>
    <n v="3900"/>
    <m/>
    <m/>
    <m/>
    <m/>
    <m/>
    <m/>
    <m/>
    <m/>
    <n v="39"/>
    <m/>
    <m/>
    <x v="6"/>
    <n v="53.406410255791762"/>
    <x v="5"/>
  </r>
  <r>
    <n v="1"/>
    <d v="2015-01-27T18:32:58"/>
    <d v="2015-01-27T19:02:09"/>
    <x v="4"/>
    <x v="2"/>
    <n v="4"/>
    <n v="2"/>
    <n v="595"/>
    <n v="2"/>
    <n v="200"/>
    <n v="295"/>
    <n v="5"/>
    <n v="1"/>
    <n v="1"/>
    <m/>
    <m/>
    <m/>
    <m/>
    <m/>
    <m/>
    <n v="28.372685186332092"/>
    <n v="18"/>
    <m/>
    <s v="Tuesday"/>
    <m/>
    <m/>
    <m/>
    <n v="0.78370518139199408"/>
    <m/>
    <n v="-29.183333334513009"/>
    <n v="0.13157894736842105"/>
    <m/>
    <m/>
    <n v="0.18931352496839984"/>
    <m/>
    <m/>
    <m/>
    <m/>
    <m/>
    <n v="4"/>
    <n v="4850"/>
    <m/>
    <m/>
    <m/>
    <m/>
    <m/>
    <m/>
    <m/>
    <m/>
    <n v="38"/>
    <m/>
    <m/>
    <x v="7"/>
    <n v="53.501315789088899"/>
    <x v="5"/>
  </r>
  <r>
    <n v="1"/>
    <d v="2015-01-27T20:26:19"/>
    <d v="2015-01-27T21:03:53"/>
    <x v="0"/>
    <x v="0"/>
    <n v="2"/>
    <n v="2"/>
    <n v="1725"/>
    <n v="2"/>
    <n v="825"/>
    <n v="900"/>
    <n v="21"/>
    <n v="18"/>
    <n v="18"/>
    <m/>
    <m/>
    <m/>
    <m/>
    <m/>
    <m/>
    <n v="36.523148139531258"/>
    <n v="20"/>
    <m/>
    <s v="Tuesday"/>
    <m/>
    <m/>
    <m/>
    <n v="0.78245639965130687"/>
    <m/>
    <n v="-37.56666665780358"/>
    <n v="0.10810810810810811"/>
    <m/>
    <m/>
    <n v="0.18059878781110819"/>
    <m/>
    <m/>
    <m/>
    <m/>
    <m/>
    <n v="4"/>
    <n v="4771"/>
    <m/>
    <m/>
    <m/>
    <m/>
    <m/>
    <m/>
    <m/>
    <m/>
    <n v="37"/>
    <m/>
    <m/>
    <x v="8"/>
    <n v="54.158558558131496"/>
    <x v="5"/>
  </r>
  <r>
    <n v="3"/>
    <d v="2015-01-28T20:30:38"/>
    <d v="2015-01-28T21:08:58"/>
    <x v="1"/>
    <x v="0"/>
    <n v="1"/>
    <n v="3"/>
    <n v="5000"/>
    <n v="3"/>
    <n v="1500"/>
    <n v="1900"/>
    <n v="2"/>
    <n v="2"/>
    <n v="2"/>
    <m/>
    <m/>
    <m/>
    <m/>
    <m/>
    <m/>
    <n v="37.268518521159422"/>
    <n v="20"/>
    <m/>
    <s v="Wednesday"/>
    <m/>
    <m/>
    <m/>
    <n v="0.77954349290164582"/>
    <m/>
    <n v="-38.333333336049691"/>
    <n v="0.1111111111111111"/>
    <m/>
    <m/>
    <n v="0.1803465178076761"/>
    <m/>
    <m/>
    <m/>
    <m/>
    <m/>
    <n v="2"/>
    <n v="2100"/>
    <m/>
    <m/>
    <m/>
    <m/>
    <m/>
    <m/>
    <m/>
    <m/>
    <n v="36"/>
    <m/>
    <m/>
    <x v="9"/>
    <n v="54.619444444251712"/>
    <x v="0"/>
  </r>
  <r>
    <n v="1"/>
    <d v="2015-01-28T20:33:04"/>
    <d v="2015-01-28T21:04:14"/>
    <x v="0"/>
    <x v="0"/>
    <m/>
    <n v="3"/>
    <n v="1765"/>
    <n v="3"/>
    <n v="275"/>
    <n v="895"/>
    <n v="22"/>
    <n v="21"/>
    <n v="24"/>
    <m/>
    <m/>
    <m/>
    <m/>
    <m/>
    <m/>
    <n v="30.30092592962319"/>
    <n v="20"/>
    <m/>
    <s v="Wednesday"/>
    <m/>
    <m/>
    <m/>
    <n v="0.78265148251323102"/>
    <m/>
    <n v="-31.166666670469567"/>
    <n v="0.11428571428571428"/>
    <m/>
    <m/>
    <n v="0.18014173743839973"/>
    <m/>
    <m/>
    <m/>
    <m/>
    <m/>
    <n v="4"/>
    <n v="4300"/>
    <m/>
    <m/>
    <m/>
    <m/>
    <m/>
    <m/>
    <m/>
    <m/>
    <n v="35"/>
    <m/>
    <m/>
    <x v="10"/>
    <n v="55.084761904486058"/>
    <x v="0"/>
  </r>
  <r>
    <n v="1"/>
    <d v="2015-01-28T21:37:38"/>
    <d v="2015-01-28T22:11:53"/>
    <x v="0"/>
    <x v="0"/>
    <n v="2"/>
    <n v="3"/>
    <n v="1425"/>
    <n v="3"/>
    <n v="175"/>
    <n v="900"/>
    <n v="13"/>
    <n v="12"/>
    <n v="7"/>
    <m/>
    <m/>
    <m/>
    <m/>
    <m/>
    <m/>
    <n v="33.298611112695653"/>
    <n v="21"/>
    <m/>
    <s v="Wednesday"/>
    <m/>
    <m/>
    <m/>
    <n v="0.78799664030151595"/>
    <m/>
    <n v="-34.250000001629815"/>
    <n v="0.11764705882352941"/>
    <m/>
    <m/>
    <n v="0.18016456834523803"/>
    <m/>
    <m/>
    <m/>
    <m/>
    <m/>
    <n v="2"/>
    <n v="2200"/>
    <m/>
    <m/>
    <m/>
    <m/>
    <m/>
    <m/>
    <m/>
    <m/>
    <n v="34"/>
    <m/>
    <m/>
    <x v="11"/>
    <n v="55.788235293721833"/>
    <x v="0"/>
  </r>
  <r>
    <n v="1"/>
    <d v="2015-01-30T01:43:09"/>
    <d v="2015-01-30T02:20:42"/>
    <x v="2"/>
    <x v="1"/>
    <n v="1"/>
    <n v="2"/>
    <n v="2700"/>
    <n v="2"/>
    <n v="1200"/>
    <n v="1500"/>
    <n v="16"/>
    <n v="16"/>
    <n v="13"/>
    <m/>
    <m/>
    <m/>
    <m/>
    <m/>
    <m/>
    <n v="36.506944442226086"/>
    <n v="1"/>
    <m/>
    <s v="Friday"/>
    <m/>
    <m/>
    <m/>
    <n v="0.79621987774792735"/>
    <m/>
    <n v="-37.54999999771826"/>
    <n v="0.12121212121212122"/>
    <m/>
    <m/>
    <n v="0.17981421310828766"/>
    <m/>
    <m/>
    <m/>
    <m/>
    <m/>
    <n v="1"/>
    <n v="1900"/>
    <m/>
    <m/>
    <m/>
    <m/>
    <m/>
    <m/>
    <m/>
    <m/>
    <n v="33"/>
    <m/>
    <m/>
    <x v="12"/>
    <n v="56.440909090451896"/>
    <x v="6"/>
  </r>
  <r>
    <n v="3"/>
    <d v="2015-01-30T19:49:30"/>
    <d v="2015-01-30T20:28:45"/>
    <x v="0"/>
    <x v="3"/>
    <n v="2"/>
    <n v="4"/>
    <n v="3490"/>
    <n v="3"/>
    <n v="175"/>
    <n v="850"/>
    <n v="16"/>
    <n v="16"/>
    <n v="21"/>
    <m/>
    <m/>
    <m/>
    <m/>
    <m/>
    <m/>
    <n v="38.159722219279502"/>
    <n v="19"/>
    <m/>
    <s v="Friday"/>
    <m/>
    <m/>
    <m/>
    <n v="0.79474343869604192"/>
    <m/>
    <n v="-39.249999996973202"/>
    <n v="0.125"/>
    <m/>
    <m/>
    <n v="0.17785978790028517"/>
    <m/>
    <m/>
    <m/>
    <m/>
    <m/>
    <n v="4"/>
    <n v="4986"/>
    <m/>
    <m/>
    <m/>
    <m/>
    <m/>
    <m/>
    <m/>
    <m/>
    <n v="32"/>
    <m/>
    <m/>
    <x v="13"/>
    <n v="57.031249999599822"/>
    <x v="6"/>
  </r>
  <r>
    <n v="3"/>
    <d v="2015-01-31T02:16:36"/>
    <d v="2015-01-31T02:43:00"/>
    <x v="1"/>
    <x v="0"/>
    <n v="1"/>
    <n v="2"/>
    <n v="3900"/>
    <n v="2"/>
    <n v="1200"/>
    <n v="2700"/>
    <n v="10"/>
    <n v="9"/>
    <n v="9"/>
    <m/>
    <m/>
    <m/>
    <m/>
    <m/>
    <m/>
    <n v="25.666666666802485"/>
    <n v="2"/>
    <m/>
    <s v="Saturday"/>
    <m/>
    <m/>
    <m/>
    <n v="0.80080141691213258"/>
    <m/>
    <n v="-26.400000000139698"/>
    <n v="0.12903225806451613"/>
    <m/>
    <s v=" "/>
    <n v="0.1810740454933609"/>
    <m/>
    <m/>
    <m/>
    <m/>
    <m/>
    <n v="1"/>
    <n v="1525"/>
    <m/>
    <m/>
    <m/>
    <m/>
    <m/>
    <m/>
    <m/>
    <m/>
    <n v="31"/>
    <m/>
    <m/>
    <x v="14"/>
    <n v="57.604838709361971"/>
    <x v="2"/>
  </r>
  <r>
    <n v="1"/>
    <d v="2015-01-31T02:21:23"/>
    <d v="2015-01-31T03:11:42"/>
    <x v="5"/>
    <x v="4"/>
    <n v="1"/>
    <n v="2"/>
    <n v="950"/>
    <n v="2"/>
    <n v="150"/>
    <n v="700"/>
    <n v="24"/>
    <n v="24"/>
    <n v="26"/>
    <m/>
    <m/>
    <m/>
    <m/>
    <m/>
    <m/>
    <n v="48.918981477618217"/>
    <n v="2"/>
    <m/>
    <s v="Saturday"/>
    <m/>
    <m/>
    <m/>
    <n v="0.80552184386239545"/>
    <m/>
    <n v="-50.316666662693024"/>
    <n v="0.1"/>
    <m/>
    <m/>
    <n v="0.17477043619251034"/>
    <m/>
    <m/>
    <m/>
    <m/>
    <m/>
    <n v="2"/>
    <n v="3620"/>
    <m/>
    <m/>
    <m/>
    <m/>
    <m/>
    <m/>
    <m/>
    <m/>
    <n v="30"/>
    <m/>
    <m/>
    <x v="15"/>
    <n v="58.64499999966938"/>
    <x v="2"/>
  </r>
  <r>
    <n v="1"/>
    <d v="2015-01-31T04:35:54"/>
    <d v="2015-01-31T05:47:30"/>
    <x v="3"/>
    <x v="1"/>
    <n v="1"/>
    <n v="2"/>
    <n v="3150"/>
    <n v="2"/>
    <n v="1425"/>
    <n v="1725"/>
    <n v="4"/>
    <n v="9"/>
    <n v="12"/>
    <m/>
    <m/>
    <m/>
    <m/>
    <m/>
    <m/>
    <n v="69.611111115955282"/>
    <n v="4"/>
    <m/>
    <s v="Saturday"/>
    <m/>
    <m/>
    <m/>
    <n v="0.80353427922654441"/>
    <m/>
    <n v="-71.600000004982576"/>
    <n v="0.10344827586206896"/>
    <m/>
    <m/>
    <n v="0.17749398764339516"/>
    <m/>
    <m/>
    <m/>
    <m/>
    <m/>
    <n v="3"/>
    <n v="4475"/>
    <m/>
    <m/>
    <m/>
    <m/>
    <m/>
    <m/>
    <m/>
    <m/>
    <n v="29"/>
    <m/>
    <m/>
    <x v="16"/>
    <n v="58.932183907840979"/>
    <x v="2"/>
  </r>
  <r>
    <n v="1"/>
    <d v="2015-01-31T23:45:12"/>
    <d v="2015-02-01T00:14:05"/>
    <x v="5"/>
    <x v="4"/>
    <n v="1"/>
    <n v="5"/>
    <n v="1285"/>
    <n v="3"/>
    <n v="150"/>
    <n v="400"/>
    <n v="12"/>
    <n v="13"/>
    <n v="11"/>
    <m/>
    <m/>
    <m/>
    <m/>
    <m/>
    <m/>
    <n v="28.081018522789236"/>
    <n v="23"/>
    <m/>
    <s v="Saturday"/>
    <m/>
    <m/>
    <m/>
    <n v="0.80347901236230845"/>
    <m/>
    <n v="-28.883333337726071"/>
    <n v="0.10714285714285714"/>
    <m/>
    <m/>
    <n v="0.1704428663489129"/>
    <m/>
    <m/>
    <m/>
    <m/>
    <m/>
    <n v="3"/>
    <n v="4375"/>
    <m/>
    <m/>
    <m/>
    <m/>
    <m/>
    <m/>
    <m/>
    <m/>
    <n v="28"/>
    <m/>
    <m/>
    <x v="17"/>
    <n v="58.479761904371635"/>
    <x v="2"/>
  </r>
  <r>
    <n v="1"/>
    <d v="2015-02-02T05:27:49"/>
    <d v="2015-02-02T07:05:09"/>
    <x v="2"/>
    <x v="1"/>
    <n v="1"/>
    <n v="7"/>
    <n v="14900"/>
    <n v="5"/>
    <n v="1200"/>
    <n v="3900"/>
    <n v="8"/>
    <n v="11"/>
    <n v="11"/>
    <m/>
    <m/>
    <m/>
    <m/>
    <m/>
    <m/>
    <n v="94.629629625706002"/>
    <n v="5"/>
    <m/>
    <s v="Monday"/>
    <m/>
    <m/>
    <m/>
    <n v="0.86940663658458783"/>
    <m/>
    <n v="-97.333333329297602"/>
    <n v="7.407407407407407E-2"/>
    <m/>
    <m/>
    <n v="0.18308573653879462"/>
    <m/>
    <m/>
    <m/>
    <m/>
    <m/>
    <n v="2"/>
    <n v="3150"/>
    <m/>
    <m/>
    <m/>
    <m/>
    <m/>
    <m/>
    <m/>
    <m/>
    <n v="27"/>
    <m/>
    <m/>
    <x v="18"/>
    <n v="59.575925925358511"/>
    <x v="4"/>
  </r>
  <r>
    <n v="3"/>
    <d v="2015-02-02T19:22:53"/>
    <d v="2015-02-02T20:09:19"/>
    <x v="1"/>
    <x v="0"/>
    <n v="4"/>
    <n v="4"/>
    <n v="4300"/>
    <n v="4"/>
    <n v="1200"/>
    <n v="1500"/>
    <n v="1"/>
    <n v="1"/>
    <n v="1"/>
    <m/>
    <m/>
    <m/>
    <m/>
    <m/>
    <m/>
    <n v="45.143518518307246"/>
    <n v="19"/>
    <m/>
    <s v="Monday"/>
    <m/>
    <m/>
    <m/>
    <n v="0.92572100006075198"/>
    <m/>
    <n v="-46.433333333116025"/>
    <n v="7.6923076923076927E-2"/>
    <m/>
    <m/>
    <n v="0.22917940163697065"/>
    <m/>
    <m/>
    <m/>
    <m/>
    <m/>
    <n v="2"/>
    <n v="950"/>
    <m/>
    <m/>
    <m/>
    <m/>
    <m/>
    <m/>
    <m/>
    <m/>
    <n v="26"/>
    <m/>
    <m/>
    <x v="19"/>
    <n v="58.123717948283925"/>
    <x v="4"/>
  </r>
  <r>
    <n v="3"/>
    <d v="2015-02-03T21:21:45"/>
    <d v="2015-02-03T22:13:00"/>
    <x v="1"/>
    <x v="0"/>
    <n v="1"/>
    <n v="6"/>
    <n v="6900"/>
    <n v="5"/>
    <n v="600"/>
    <n v="1800"/>
    <n v="1"/>
    <n v="1"/>
    <n v="2"/>
    <m/>
    <m/>
    <m/>
    <m/>
    <m/>
    <m/>
    <n v="49.826388883229811"/>
    <n v="21"/>
    <m/>
    <s v="Tuesday"/>
    <m/>
    <m/>
    <m/>
    <n v="0.92713331362552243"/>
    <m/>
    <n v="-51.249999994179234"/>
    <n v="0.08"/>
    <m/>
    <m/>
    <n v="0.24626902457455774"/>
    <m/>
    <m/>
    <m/>
    <m/>
    <m/>
    <n v="5"/>
    <n v="1285"/>
    <m/>
    <m/>
    <m/>
    <m/>
    <m/>
    <m/>
    <m/>
    <m/>
    <n v="25"/>
    <m/>
    <m/>
    <x v="20"/>
    <n v="58.591333332890642"/>
    <x v="5"/>
  </r>
  <r>
    <n v="1"/>
    <d v="2015-02-06T00:42:42"/>
    <d v="2015-02-06T02:10:29"/>
    <x v="3"/>
    <x v="1"/>
    <n v="1"/>
    <n v="3"/>
    <n v="4475"/>
    <n v="3"/>
    <n v="925"/>
    <n v="1825"/>
    <n v="4"/>
    <n v="1"/>
    <n v="1"/>
    <m/>
    <m/>
    <m/>
    <m/>
    <m/>
    <m/>
    <n v="85.344907412945759"/>
    <n v="0"/>
    <m/>
    <s v="Friday"/>
    <m/>
    <m/>
    <m/>
    <n v="0.91848844032587351"/>
    <m/>
    <n v="-87.783333339029923"/>
    <n v="8.3333333333333329E-2"/>
    <m/>
    <m/>
    <n v="0.31385094388076684"/>
    <m/>
    <m/>
    <m/>
    <m/>
    <m/>
    <n v="4"/>
    <n v="5800"/>
    <m/>
    <m/>
    <m/>
    <m/>
    <m/>
    <m/>
    <m/>
    <m/>
    <n v="24"/>
    <m/>
    <m/>
    <x v="21"/>
    <n v="58.89722222200362"/>
    <x v="6"/>
  </r>
  <r>
    <n v="1"/>
    <d v="2015-02-06T22:24:17"/>
    <d v="2015-02-06T23:27:16"/>
    <x v="6"/>
    <x v="5"/>
    <n v="1"/>
    <n v="4"/>
    <n v="3441"/>
    <n v="4"/>
    <n v="557"/>
    <n v="1239"/>
    <n v="33"/>
    <n v="14"/>
    <n v="21"/>
    <m/>
    <m/>
    <m/>
    <m/>
    <m/>
    <m/>
    <n v="61.23379628843395"/>
    <n v="22"/>
    <m/>
    <s v="Friday"/>
    <m/>
    <m/>
    <m/>
    <n v="0.92076647400188738"/>
    <m/>
    <n v="-62.983333325246349"/>
    <n v="8.6956521739130432E-2"/>
    <m/>
    <m/>
    <n v="0.31892960488206373"/>
    <m/>
    <m/>
    <m/>
    <m/>
    <m/>
    <n v="2"/>
    <n v="2800"/>
    <m/>
    <m/>
    <m/>
    <m/>
    <m/>
    <m/>
    <m/>
    <m/>
    <n v="23"/>
    <m/>
    <m/>
    <x v="22"/>
    <n v="57.6413043473503"/>
    <x v="6"/>
  </r>
  <r>
    <n v="3"/>
    <d v="2015-02-07T01:34:31"/>
    <d v="2015-02-07T02:17:14"/>
    <x v="1"/>
    <x v="0"/>
    <n v="1"/>
    <n v="1"/>
    <n v="1900"/>
    <n v="1"/>
    <n v="1900"/>
    <n v="1900"/>
    <n v="6"/>
    <n v="3"/>
    <n v="3"/>
    <m/>
    <m/>
    <m/>
    <m/>
    <m/>
    <m/>
    <n v="41.530092593166046"/>
    <n v="1"/>
    <m/>
    <s v="Saturday"/>
    <m/>
    <m/>
    <m/>
    <n v="0.93342824870615371"/>
    <m/>
    <n v="-42.716666667256504"/>
    <n v="9.0909090909090912E-2"/>
    <m/>
    <m/>
    <n v="0.33267408295617801"/>
    <m/>
    <m/>
    <m/>
    <m/>
    <m/>
    <n v="7"/>
    <n v="14900"/>
    <m/>
    <m/>
    <m/>
    <m/>
    <m/>
    <m/>
    <m/>
    <m/>
    <n v="22"/>
    <m/>
    <m/>
    <x v="23"/>
    <n v="57.398484848355025"/>
    <x v="2"/>
  </r>
  <r>
    <n v="4"/>
    <d v="2015-02-07T01:36:34"/>
    <d v="2015-02-07T02:46:27"/>
    <x v="7"/>
    <x v="1"/>
    <n v="1"/>
    <n v="4"/>
    <n v="5500"/>
    <n v="4"/>
    <n v="700"/>
    <n v="1900"/>
    <n v="117"/>
    <n v="112"/>
    <n v="178"/>
    <m/>
    <m/>
    <m/>
    <m/>
    <m/>
    <m/>
    <n v="67.942129631410353"/>
    <n v="1"/>
    <m/>
    <s v="Saturday"/>
    <m/>
    <m/>
    <m/>
    <n v="0.93112623738496803"/>
    <m/>
    <n v="-69.883333335164934"/>
    <n v="9.5238095238095233E-2"/>
    <m/>
    <m/>
    <n v="0.31286406828940305"/>
    <m/>
    <m/>
    <m/>
    <m/>
    <m/>
    <n v="3"/>
    <n v="3400"/>
    <m/>
    <m/>
    <m/>
    <m/>
    <m/>
    <m/>
    <m/>
    <m/>
    <n v="21"/>
    <m/>
    <m/>
    <x v="24"/>
    <n v="58.097619047454955"/>
    <x v="2"/>
  </r>
  <r>
    <n v="1"/>
    <d v="2015-02-07T01:44:26"/>
    <d v="2015-02-07T02:48:06"/>
    <x v="2"/>
    <x v="1"/>
    <n v="1"/>
    <n v="1"/>
    <n v="1800"/>
    <n v="1"/>
    <n v="1800"/>
    <n v="1800"/>
    <n v="22"/>
    <n v="21"/>
    <n v="20"/>
    <m/>
    <m/>
    <m/>
    <m/>
    <m/>
    <m/>
    <n v="61.898148152977228"/>
    <n v="1"/>
    <m/>
    <s v="Saturday"/>
    <m/>
    <m/>
    <m/>
    <n v="0.93063356947249598"/>
    <m/>
    <n v="-63.66666667163372"/>
    <n v="0.1"/>
    <m/>
    <m/>
    <n v="0.28155500894736907"/>
    <m/>
    <m/>
    <m/>
    <m/>
    <m/>
    <n v="3"/>
    <n v="3800"/>
    <m/>
    <m/>
    <m/>
    <m/>
    <m/>
    <m/>
    <m/>
    <m/>
    <n v="20"/>
    <m/>
    <m/>
    <x v="25"/>
    <n v="57.508333333069459"/>
    <x v="2"/>
  </r>
  <r>
    <n v="1"/>
    <d v="2015-02-08T02:04:17"/>
    <d v="2015-02-08T03:27:13"/>
    <x v="3"/>
    <x v="1"/>
    <n v="1"/>
    <n v="3"/>
    <n v="4375"/>
    <n v="3"/>
    <n v="1325"/>
    <n v="1625"/>
    <n v="6"/>
    <n v="4"/>
    <n v="3"/>
    <m/>
    <m/>
    <m/>
    <m/>
    <m/>
    <m/>
    <n v="80.629629633040167"/>
    <n v="2"/>
    <m/>
    <s v="Sunday"/>
    <m/>
    <m/>
    <m/>
    <n v="0.92746433369556236"/>
    <m/>
    <n v="-82.933333336841315"/>
    <n v="0.10526315789473684"/>
    <m/>
    <m/>
    <n v="0.28649836840608256"/>
    <m/>
    <m/>
    <m/>
    <m/>
    <m/>
    <n v="1"/>
    <n v="1800"/>
    <m/>
    <m/>
    <m/>
    <m/>
    <m/>
    <m/>
    <m/>
    <m/>
    <n v="19"/>
    <m/>
    <m/>
    <x v="26"/>
    <n v="57.184210525776599"/>
    <x v="3"/>
  </r>
  <r>
    <n v="4"/>
    <d v="2015-02-08T02:50:54"/>
    <d v="2015-02-08T04:03:49"/>
    <x v="7"/>
    <x v="1"/>
    <n v="1"/>
    <n v="4"/>
    <n v="7104"/>
    <n v="3"/>
    <n v="751"/>
    <n v="2191"/>
    <n v="121"/>
    <n v="119"/>
    <n v="205"/>
    <m/>
    <m/>
    <m/>
    <m/>
    <m/>
    <m/>
    <n v="70.891203702194616"/>
    <n v="2"/>
    <m/>
    <s v="Sunday"/>
    <m/>
    <m/>
    <m/>
    <n v="0.92954595835222342"/>
    <m/>
    <n v="-72.916666665114462"/>
    <n v="0.1111111111111111"/>
    <m/>
    <m/>
    <n v="0.28988699897433168"/>
    <m/>
    <m/>
    <m/>
    <m/>
    <m/>
    <n v="4"/>
    <n v="5800"/>
    <m/>
    <m/>
    <m/>
    <m/>
    <m/>
    <m/>
    <m/>
    <m/>
    <n v="18"/>
    <m/>
    <m/>
    <x v="27"/>
    <n v="55.753703702939674"/>
    <x v="3"/>
  </r>
  <r>
    <n v="2"/>
    <d v="2015-02-09T20:29:30"/>
    <d v="2015-02-09T21:17:34"/>
    <x v="0"/>
    <x v="6"/>
    <n v="5"/>
    <n v="1"/>
    <n v="1220"/>
    <n v="1"/>
    <n v="825"/>
    <n v="825"/>
    <n v="21"/>
    <n v="21"/>
    <n v="20"/>
    <m/>
    <m/>
    <m/>
    <m/>
    <m/>
    <m/>
    <n v="46.73148148576729"/>
    <n v="20"/>
    <m/>
    <s v="Monday"/>
    <m/>
    <m/>
    <m/>
    <n v="0.96139465231059384"/>
    <m/>
    <n v="-48.066666671074927"/>
    <n v="0.11764705882352941"/>
    <m/>
    <m/>
    <n v="0.25989446220379858"/>
    <m/>
    <m/>
    <m/>
    <m/>
    <m/>
    <n v="3"/>
    <n v="3800"/>
    <m/>
    <m/>
    <m/>
    <m/>
    <m/>
    <m/>
    <m/>
    <m/>
    <n v="17"/>
    <m/>
    <m/>
    <x v="28"/>
    <n v="54.744117646341159"/>
    <x v="4"/>
  </r>
  <r>
    <n v="1"/>
    <d v="2015-02-10T04:36:39"/>
    <d v="2015-02-10T05:20:37"/>
    <x v="2"/>
    <x v="1"/>
    <n v="1"/>
    <n v="4"/>
    <n v="5800"/>
    <n v="4"/>
    <n v="700"/>
    <n v="2000"/>
    <n v="13"/>
    <n v="16"/>
    <n v="27"/>
    <m/>
    <m/>
    <m/>
    <m/>
    <m/>
    <m/>
    <n v="42.745370369812008"/>
    <n v="4"/>
    <m/>
    <s v="Tuesday"/>
    <m/>
    <m/>
    <m/>
    <n v="0.95883661032966694"/>
    <m/>
    <n v="-43.966666666092351"/>
    <n v="0.125"/>
    <m/>
    <m/>
    <n v="0.27404589257126349"/>
    <m/>
    <m/>
    <m/>
    <m/>
    <m/>
    <n v="1"/>
    <n v="1800"/>
    <m/>
    <m/>
    <m/>
    <m/>
    <m/>
    <m/>
    <m/>
    <m/>
    <n v="16"/>
    <m/>
    <m/>
    <x v="29"/>
    <n v="55.161458332295297"/>
    <x v="5"/>
  </r>
  <r>
    <n v="1"/>
    <d v="2015-02-10T20:05:17"/>
    <d v="2015-02-10T20:34:43"/>
    <x v="0"/>
    <x v="0"/>
    <n v="2"/>
    <n v="1"/>
    <n v="1220"/>
    <n v="1"/>
    <n v="825"/>
    <n v="825"/>
    <n v="21"/>
    <n v="21"/>
    <n v="20"/>
    <m/>
    <m/>
    <m/>
    <m/>
    <m/>
    <m/>
    <n v="28.615740737586748"/>
    <n v="20"/>
    <m/>
    <s v="Tuesday"/>
    <m/>
    <m/>
    <m/>
    <n v="0.96851699906665789"/>
    <m/>
    <n v="-29.433333330089226"/>
    <n v="0.13333333333333333"/>
    <m/>
    <s v=" "/>
    <n v="0.2805671193592158"/>
    <m/>
    <m/>
    <m/>
    <m/>
    <m/>
    <n v="2"/>
    <n v="2700"/>
    <m/>
    <m/>
    <m/>
    <m/>
    <m/>
    <m/>
    <m/>
    <m/>
    <n v="15"/>
    <m/>
    <m/>
    <x v="30"/>
    <n v="55.907777776708826"/>
    <x v="5"/>
  </r>
  <r>
    <n v="2"/>
    <d v="2015-02-10T21:49:25"/>
    <d v="2015-02-10T22:56:29"/>
    <x v="1"/>
    <x v="4"/>
    <n v="2"/>
    <n v="1"/>
    <n v="1900"/>
    <n v="1"/>
    <n v="1400"/>
    <n v="1400"/>
    <n v="1"/>
    <n v="2"/>
    <n v="2"/>
    <m/>
    <m/>
    <m/>
    <m/>
    <m/>
    <m/>
    <n v="65.20370370708406"/>
    <n v="21"/>
    <m/>
    <s v="Tuesday"/>
    <m/>
    <m/>
    <m/>
    <n v="0.96638950564991899"/>
    <m/>
    <n v="-67.066666670143604"/>
    <n v="7.1428571428571425E-2"/>
    <m/>
    <m/>
    <n v="0.29749267871098506"/>
    <m/>
    <m/>
    <m/>
    <m/>
    <m/>
    <n v="4"/>
    <n v="3490"/>
    <m/>
    <m/>
    <m/>
    <m/>
    <m/>
    <m/>
    <m/>
    <m/>
    <n v="14"/>
    <m/>
    <m/>
    <x v="31"/>
    <n v="57.798809522895944"/>
    <x v="5"/>
  </r>
  <r>
    <n v="3"/>
    <d v="2015-02-12T03:03:35"/>
    <d v="2015-02-12T03:36:20"/>
    <x v="1"/>
    <x v="0"/>
    <n v="1"/>
    <n v="4"/>
    <n v="4850"/>
    <n v="4"/>
    <n v="750"/>
    <n v="1800"/>
    <n v="7"/>
    <n v="8"/>
    <n v="7"/>
    <m/>
    <m/>
    <m/>
    <m/>
    <m/>
    <m/>
    <n v="31.840277774608694"/>
    <n v="3"/>
    <m/>
    <s v="Thursday"/>
    <m/>
    <m/>
    <m/>
    <n v="0.96482098305268271"/>
    <m/>
    <n v="-32.749999996740371"/>
    <n v="7.6923076923076927E-2"/>
    <m/>
    <m/>
    <n v="0.26703376646643812"/>
    <m/>
    <m/>
    <m/>
    <m/>
    <m/>
    <n v="3"/>
    <n v="1765"/>
    <m/>
    <m/>
    <m/>
    <m/>
    <m/>
    <m/>
    <m/>
    <m/>
    <n v="13"/>
    <m/>
    <m/>
    <x v="32"/>
    <n v="57.085897434646121"/>
    <x v="1"/>
  </r>
  <r>
    <n v="1"/>
    <d v="2015-02-12T03:36:46"/>
    <d v="2015-02-12T04:14:39"/>
    <x v="3"/>
    <x v="1"/>
    <n v="1"/>
    <n v="1"/>
    <n v="1525"/>
    <n v="1"/>
    <n v="1525"/>
    <n v="1525"/>
    <n v="5"/>
    <n v="6"/>
    <n v="8"/>
    <m/>
    <m/>
    <m/>
    <m/>
    <m/>
    <m/>
    <n v="36.831018510565627"/>
    <n v="3"/>
    <m/>
    <s v="Thursday"/>
    <m/>
    <m/>
    <m/>
    <n v="0.96490554670753759"/>
    <m/>
    <n v="-37.883333325153217"/>
    <n v="8.3333333333333329E-2"/>
    <m/>
    <m/>
    <n v="0.2842970897818865"/>
    <m/>
    <m/>
    <m/>
    <m/>
    <m/>
    <n v="1"/>
    <n v="975"/>
    <m/>
    <m/>
    <m/>
    <m/>
    <m/>
    <m/>
    <m/>
    <m/>
    <n v="12"/>
    <m/>
    <m/>
    <x v="33"/>
    <n v="59.113888887804933"/>
    <x v="1"/>
  </r>
  <r>
    <n v="1"/>
    <d v="2015-02-12T20:27:42"/>
    <d v="2015-02-12T21:18:29"/>
    <x v="0"/>
    <x v="0"/>
    <n v="2"/>
    <n v="1"/>
    <n v="975"/>
    <n v="1"/>
    <n v="975"/>
    <n v="975"/>
    <n v="24"/>
    <n v="25"/>
    <n v="30"/>
    <m/>
    <m/>
    <m/>
    <m/>
    <m/>
    <m/>
    <n v="49.372685185517184"/>
    <n v="20"/>
    <m/>
    <s v="Thursday"/>
    <m/>
    <m/>
    <m/>
    <n v="0.9600892541967686"/>
    <m/>
    <n v="-50.783333333674818"/>
    <n v="9.0909090909090912E-2"/>
    <m/>
    <m/>
    <n v="0.25456369650052857"/>
    <m/>
    <m/>
    <m/>
    <m/>
    <m/>
    <n v="3"/>
    <n v="1425"/>
    <m/>
    <m/>
    <m/>
    <m/>
    <m/>
    <m/>
    <m/>
    <m/>
    <n v="11"/>
    <m/>
    <m/>
    <x v="34"/>
    <n v="61.043939393500544"/>
    <x v="1"/>
  </r>
  <r>
    <n v="1"/>
    <d v="2015-02-13T01:01:58"/>
    <d v="2015-02-13T01:40:09"/>
    <x v="2"/>
    <x v="1"/>
    <n v="1"/>
    <n v="3"/>
    <n v="3800"/>
    <n v="3"/>
    <n v="700"/>
    <n v="1600"/>
    <n v="16"/>
    <n v="9"/>
    <n v="7"/>
    <m/>
    <m/>
    <m/>
    <m/>
    <m/>
    <m/>
    <n v="37.122685194481164"/>
    <n v="1"/>
    <m/>
    <s v="Friday"/>
    <m/>
    <m/>
    <m/>
    <n v="0.95547152941146118"/>
    <m/>
    <n v="-38.183333342894912"/>
    <n v="0.1"/>
    <m/>
    <m/>
    <n v="0.28931518542691936"/>
    <m/>
    <m/>
    <m/>
    <m/>
    <m/>
    <n v="1"/>
    <n v="1220"/>
    <m/>
    <m/>
    <m/>
    <m/>
    <m/>
    <m/>
    <m/>
    <m/>
    <n v="10"/>
    <m/>
    <m/>
    <x v="35"/>
    <n v="62.069999999483116"/>
    <x v="6"/>
  </r>
  <r>
    <n v="4"/>
    <d v="2015-02-14T03:04:07"/>
    <d v="2015-02-14T04:25:25"/>
    <x v="7"/>
    <x v="1"/>
    <n v="1"/>
    <n v="5"/>
    <n v="5400"/>
    <n v="3"/>
    <n v="600"/>
    <n v="2200"/>
    <n v="130"/>
    <n v="129"/>
    <n v="230"/>
    <m/>
    <m/>
    <m/>
    <m/>
    <m/>
    <m/>
    <n v="79.041666665580124"/>
    <n v="3"/>
    <m/>
    <s v="Saturday"/>
    <m/>
    <m/>
    <m/>
    <n v="0.95568404043689348"/>
    <m/>
    <n v="-81.299999998882413"/>
    <n v="0.1111111111111111"/>
    <m/>
    <m/>
    <n v="0.27917556796036963"/>
    <m/>
    <m/>
    <m/>
    <m/>
    <m/>
    <n v="2"/>
    <n v="1750"/>
    <m/>
    <m/>
    <m/>
    <m/>
    <m/>
    <m/>
    <m/>
    <m/>
    <n v="9"/>
    <m/>
    <m/>
    <x v="36"/>
    <n v="64.724074072437361"/>
    <x v="2"/>
  </r>
  <r>
    <n v="1"/>
    <d v="2015-02-15T01:26:20"/>
    <d v="2015-02-15T02:16:07"/>
    <x v="2"/>
    <x v="1"/>
    <n v="1"/>
    <n v="2"/>
    <n v="2800"/>
    <n v="2"/>
    <n v="1200"/>
    <n v="1600"/>
    <n v="21"/>
    <n v="17"/>
    <n v="16"/>
    <m/>
    <m/>
    <m/>
    <m/>
    <m/>
    <m/>
    <n v="48.400462960125878"/>
    <n v="1"/>
    <m/>
    <s v="Sunday"/>
    <m/>
    <m/>
    <m/>
    <n v="0.95343956810061503"/>
    <m/>
    <n v="-49.783333330415189"/>
    <n v="0.125"/>
    <m/>
    <m/>
    <n v="0.14759562160166309"/>
    <m/>
    <m/>
    <m/>
    <m/>
    <m/>
    <n v="8"/>
    <n v="7870"/>
    <m/>
    <m/>
    <m/>
    <m/>
    <m/>
    <m/>
    <m/>
    <m/>
    <n v="8"/>
    <m/>
    <m/>
    <x v="37"/>
    <n v="62.652083331631729"/>
    <x v="3"/>
  </r>
  <r>
    <n v="3"/>
    <d v="2015-02-15T02:40:36"/>
    <d v="2015-02-15T03:20:26"/>
    <x v="1"/>
    <x v="0"/>
    <n v="1"/>
    <n v="3"/>
    <n v="3900"/>
    <n v="3"/>
    <n v="1100"/>
    <n v="1600"/>
    <n v="6"/>
    <n v="6"/>
    <n v="9"/>
    <m/>
    <m/>
    <m/>
    <m/>
    <m/>
    <m/>
    <n v="38.72685184906004"/>
    <n v="2"/>
    <m/>
    <s v="Sunday"/>
    <m/>
    <m/>
    <m/>
    <n v="0.95009263531798382"/>
    <m/>
    <n v="-39.833333330461755"/>
    <n v="0.14285714285714285"/>
    <m/>
    <m/>
    <n v="0.28117709647147671"/>
    <m/>
    <m/>
    <m/>
    <m/>
    <m/>
    <n v="2"/>
    <n v="1725"/>
    <m/>
    <m/>
    <m/>
    <m/>
    <m/>
    <m/>
    <m/>
    <m/>
    <n v="7"/>
    <m/>
    <m/>
    <x v="38"/>
    <n v="64.490476188948378"/>
    <x v="3"/>
  </r>
  <r>
    <n v="2"/>
    <d v="2015-02-16T00:11:35"/>
    <d v="2015-02-16T00:38:01"/>
    <x v="1"/>
    <x v="7"/>
    <n v="3"/>
    <n v="4"/>
    <n v="4771"/>
    <n v="3"/>
    <n v="820"/>
    <n v="1604"/>
    <n v="8"/>
    <n v="6"/>
    <n v="18"/>
    <m/>
    <m/>
    <m/>
    <m/>
    <m/>
    <m/>
    <n v="25.699074071599171"/>
    <n v="0"/>
    <m/>
    <s v="Monday"/>
    <m/>
    <m/>
    <m/>
    <n v="0.95178107805977485"/>
    <m/>
    <n v="-26.433333330787718"/>
    <n v="0.16666666666666666"/>
    <m/>
    <m/>
    <n v="0.25723301699183415"/>
    <m/>
    <m/>
    <m/>
    <m/>
    <m/>
    <n v="3"/>
    <n v="2015"/>
    <m/>
    <m/>
    <m/>
    <m/>
    <m/>
    <m/>
    <m/>
    <m/>
    <n v="6"/>
    <m/>
    <m/>
    <x v="39"/>
    <n v="68.599999998696148"/>
    <x v="4"/>
  </r>
  <r>
    <n v="1"/>
    <d v="2015-02-16T02:21:20"/>
    <d v="2015-02-16T03:54:14"/>
    <x v="2"/>
    <x v="1"/>
    <n v="1"/>
    <n v="3"/>
    <n v="3400"/>
    <n v="3"/>
    <n v="1400"/>
    <n v="2100"/>
    <n v="22"/>
    <n v="21"/>
    <n v="39"/>
    <m/>
    <m/>
    <m/>
    <m/>
    <m/>
    <m/>
    <n v="90.319444441411179"/>
    <n v="2"/>
    <m/>
    <s v="Monday"/>
    <m/>
    <m/>
    <m/>
    <n v="0.95300212893591296"/>
    <m/>
    <n v="-92.899999996880069"/>
    <n v="0"/>
    <m/>
    <m/>
    <n v="0.27653549257951066"/>
    <m/>
    <m/>
    <m/>
    <m/>
    <m/>
    <n v="1"/>
    <n v="1220"/>
    <m/>
    <m/>
    <m/>
    <m/>
    <m/>
    <m/>
    <m/>
    <m/>
    <n v="5"/>
    <m/>
    <m/>
    <x v="40"/>
    <n v="77.033333332277834"/>
    <x v="4"/>
  </r>
  <r>
    <n v="3"/>
    <d v="2015-02-16T04:19:33"/>
    <d v="2015-02-16T06:34:00"/>
    <x v="1"/>
    <x v="0"/>
    <n v="1"/>
    <n v="2"/>
    <n v="2200"/>
    <n v="2"/>
    <n v="600"/>
    <n v="1600"/>
    <n v="3"/>
    <n v="3"/>
    <n v="4"/>
    <m/>
    <m/>
    <m/>
    <m/>
    <m/>
    <m/>
    <n v="130.71527777501615"/>
    <n v="4"/>
    <m/>
    <s v="Monday"/>
    <m/>
    <m/>
    <m/>
    <n v="0.95141904173364833"/>
    <m/>
    <n v="-134.44999999715947"/>
    <n v="0"/>
    <m/>
    <m/>
    <n v="0.50516100202717051"/>
    <m/>
    <m/>
    <m/>
    <m/>
    <m/>
    <n v="2"/>
    <n v="595"/>
    <m/>
    <m/>
    <m/>
    <m/>
    <m/>
    <m/>
    <m/>
    <m/>
    <n v="4"/>
    <m/>
    <m/>
    <x v="41"/>
    <n v="73.066666666127276"/>
    <x v="4"/>
  </r>
  <r>
    <n v="1"/>
    <d v="2015-02-16T19:19:17"/>
    <d v="2015-02-16T20:16:43"/>
    <x v="0"/>
    <x v="0"/>
    <n v="2"/>
    <n v="8"/>
    <n v="7870"/>
    <n v="6"/>
    <n v="825"/>
    <n v="895"/>
    <n v="12"/>
    <n v="11"/>
    <n v="9"/>
    <m/>
    <m/>
    <m/>
    <m/>
    <m/>
    <m/>
    <n v="55.83796296705259"/>
    <n v="19"/>
    <m/>
    <s v="Monday"/>
    <m/>
    <m/>
    <m/>
    <n v="0.93875363320081395"/>
    <m/>
    <n v="-57.433333337539807"/>
    <n v="0"/>
    <m/>
    <m/>
    <n v="0.35921060405354976"/>
    <m/>
    <m/>
    <m/>
    <m/>
    <m/>
    <n v="4"/>
    <n v="5500"/>
    <m/>
    <m/>
    <m/>
    <m/>
    <m/>
    <m/>
    <m/>
    <m/>
    <n v="3"/>
    <m/>
    <m/>
    <x v="42"/>
    <n v="52.605555555783212"/>
    <x v="4"/>
  </r>
  <r>
    <n v="1"/>
    <d v="2015-02-17T03:13:20"/>
    <d v="2015-02-17T04:00:31"/>
    <x v="2"/>
    <x v="1"/>
    <n v="1"/>
    <n v="4"/>
    <n v="5800"/>
    <n v="4"/>
    <n v="700"/>
    <n v="2000"/>
    <n v="19"/>
    <n v="19"/>
    <n v="30"/>
    <m/>
    <m/>
    <m/>
    <m/>
    <m/>
    <m/>
    <n v="45.872685182257555"/>
    <n v="3"/>
    <m/>
    <s v="Tuesday"/>
    <m/>
    <m/>
    <m/>
    <m/>
    <m/>
    <m/>
    <n v="0"/>
    <m/>
    <m/>
    <n v="1"/>
    <m/>
    <m/>
    <m/>
    <m/>
    <m/>
    <n v="5"/>
    <n v="5400"/>
    <m/>
    <m/>
    <m/>
    <m/>
    <m/>
    <m/>
    <m/>
    <m/>
    <n v="2"/>
    <m/>
    <m/>
    <x v="43"/>
    <n v="50.191666664904915"/>
    <x v="5"/>
  </r>
  <r>
    <n v="3"/>
    <d v="2015-02-18T01:15:45"/>
    <d v="2015-02-18T02:08:57"/>
    <x v="1"/>
    <x v="0"/>
    <n v="1"/>
    <n v="2"/>
    <n v="2100"/>
    <n v="2"/>
    <n v="700"/>
    <n v="1200"/>
    <n v="2"/>
    <n v="2"/>
    <n v="2"/>
    <m/>
    <m/>
    <m/>
    <m/>
    <m/>
    <m/>
    <n v="51.722222221724223"/>
    <n v="1"/>
    <m/>
    <s v="Wednesday"/>
    <m/>
    <m/>
    <m/>
    <m/>
    <m/>
    <m/>
    <m/>
    <m/>
    <m/>
    <m/>
    <m/>
    <m/>
    <m/>
    <m/>
    <m/>
    <n v="4"/>
    <n v="7104"/>
    <m/>
    <m/>
    <m/>
    <m/>
    <m/>
    <m/>
    <m/>
    <m/>
    <n v="1"/>
    <m/>
    <m/>
    <x v="44"/>
    <n v="53.199999999487773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d v="2015-01-21T20:35:27"/>
    <d v="1899-12-30T20:35:27"/>
    <d v="2015-01-21T21:01:26"/>
    <d v="1899-12-30T21:01:26"/>
    <s v="50905d7b2216bfeccb5b41016357176b"/>
    <s v="NA"/>
    <n v="2"/>
    <n v="2"/>
    <n v="1750"/>
    <n v="2"/>
    <n v="825"/>
    <n v="825"/>
    <n v="18"/>
    <n v="18"/>
    <n v="20"/>
    <m/>
    <m/>
    <m/>
    <n v="1"/>
    <n v="27"/>
    <m/>
    <n v="25.261574071191717"/>
    <n v="20"/>
    <m/>
    <x v="0"/>
    <s v="Monday"/>
    <n v="8"/>
    <m/>
    <n v="0.78369900049790808"/>
    <m/>
    <n v="-25.983333330368623"/>
    <n v="0.15555555555555556"/>
    <m/>
    <m/>
    <n v="0.19193581905596047"/>
    <m/>
    <d v="1899-12-30T00:25:59"/>
    <m/>
    <m/>
    <m/>
    <n v="4"/>
    <n v="3441"/>
    <m/>
    <m/>
    <m/>
    <m/>
    <m/>
    <m/>
    <m/>
    <m/>
    <n v="45"/>
    <m/>
    <m/>
    <n v="25.983333330368623"/>
    <n v="51.27962962910533"/>
    <s v="Wednesday"/>
    <m/>
    <n v="1"/>
    <n v="3287.4444444444443"/>
  </r>
  <r>
    <n v="1"/>
    <d v="2015-01-22T20:19:08"/>
    <d v="1899-12-30T20:19:08"/>
    <d v="2015-01-22T21:07:43"/>
    <d v="1899-12-30T21:07:43"/>
    <s v="50905d7b2216bfeccb5b41016357176b"/>
    <s v="NA"/>
    <n v="2"/>
    <n v="3"/>
    <n v="2015"/>
    <n v="3"/>
    <n v="395"/>
    <n v="1025"/>
    <n v="22"/>
    <n v="13"/>
    <n v="13"/>
    <m/>
    <m/>
    <m/>
    <n v="2"/>
    <n v="3"/>
    <m/>
    <n v="47.233796295768116"/>
    <n v="20"/>
    <m/>
    <x v="1"/>
    <s v="Tuesday"/>
    <n v="8"/>
    <m/>
    <n v="0.78177412843006122"/>
    <m/>
    <n v="-48.583333332790062"/>
    <n v="0.13636363636363635"/>
    <m/>
    <m/>
    <n v="0.19242289195524179"/>
    <m/>
    <d v="1899-12-30T00:48:35"/>
    <m/>
    <m/>
    <m/>
    <n v="1"/>
    <n v="1900"/>
    <m/>
    <m/>
    <m/>
    <s v="total_items"/>
    <s v="subtotal"/>
    <m/>
    <m/>
    <m/>
    <n v="44"/>
    <m/>
    <m/>
    <n v="48.583333332790062"/>
    <n v="51.854545454076622"/>
    <s v="Thursday"/>
    <m/>
    <n v="3"/>
    <n v="3785.5"/>
  </r>
  <r>
    <n v="3"/>
    <d v="2015-01-22T20:39:28"/>
    <d v="1899-12-30T20:39:28"/>
    <d v="2015-01-22T21:09:09"/>
    <d v="1899-12-30T21:09:09"/>
    <s v="f0ade77b43923b38237db569b016ba25"/>
    <s v="NA"/>
    <n v="1"/>
    <n v="1"/>
    <n v="1900"/>
    <n v="1"/>
    <n v="1900"/>
    <n v="1900"/>
    <n v="1"/>
    <n v="0"/>
    <n v="0"/>
    <m/>
    <m/>
    <m/>
    <n v="3"/>
    <n v="12"/>
    <m/>
    <n v="28.858796299027745"/>
    <n v="20"/>
    <m/>
    <x v="1"/>
    <s v="Wednesday"/>
    <n v="4"/>
    <m/>
    <n v="0.78589053686602217"/>
    <m/>
    <n v="-29.683333336142823"/>
    <n v="0.13953488372093023"/>
    <m/>
    <m/>
    <n v="0.19263864415133253"/>
    <m/>
    <d v="1899-12-30T00:29:41"/>
    <m/>
    <m/>
    <m/>
    <n v="1"/>
    <n v="1900"/>
    <m/>
    <m/>
    <s v="total_items"/>
    <n v="1"/>
    <m/>
    <m/>
    <m/>
    <m/>
    <n v="43"/>
    <m/>
    <m/>
    <n v="29.683333336142823"/>
    <n v="51.930620154571656"/>
    <s v="Thursday"/>
    <m/>
    <n v="4"/>
    <n v="6001.333333333333"/>
  </r>
  <r>
    <n v="1"/>
    <d v="2015-01-24T02:01:20"/>
    <d v="1899-12-30T02:01:20"/>
    <d v="2015-01-24T02:46:13"/>
    <d v="1899-12-30T02:46:13"/>
    <s v="e8542a04d734d0cae36d648b3f519e5c"/>
    <s v="italian"/>
    <n v="1"/>
    <n v="1"/>
    <n v="1800"/>
    <n v="1"/>
    <n v="1800"/>
    <n v="1800"/>
    <n v="27"/>
    <n v="25"/>
    <n v="24"/>
    <m/>
    <m/>
    <m/>
    <n v="4"/>
    <n v="3"/>
    <m/>
    <n v="43.636574078118429"/>
    <n v="2"/>
    <m/>
    <x v="2"/>
    <s v="Thursday"/>
    <n v="3"/>
    <m/>
    <n v="0.78409990816454578"/>
    <m/>
    <n v="-44.883333337493241"/>
    <n v="0.11904761904761904"/>
    <m/>
    <m/>
    <n v="0.17805092057839134"/>
    <m/>
    <d v="1899-12-30T00:44:53"/>
    <m/>
    <m/>
    <m/>
    <n v="6"/>
    <n v="6900"/>
    <m/>
    <m/>
    <s v="subtotal"/>
    <n v="0.78369900049790797"/>
    <n v="1"/>
    <m/>
    <m/>
    <m/>
    <n v="42"/>
    <m/>
    <m/>
    <n v="44.883333337493241"/>
    <n v="52.460317459772341"/>
    <s v="Saturday"/>
    <m/>
    <n v="2"/>
    <n v="2630.3333333333335"/>
  </r>
  <r>
    <n v="3"/>
    <d v="2015-01-25T01:50:51"/>
    <d v="1899-12-30T01:50:51"/>
    <d v="2015-01-25T02:28:53"/>
    <d v="1899-12-30T02:28:53"/>
    <s v="f0ade77b43923b38237db569b016ba25"/>
    <s v="NA"/>
    <n v="4"/>
    <n v="4"/>
    <n v="4986"/>
    <n v="4"/>
    <n v="699"/>
    <n v="2362"/>
    <n v="16"/>
    <n v="6"/>
    <n v="9"/>
    <m/>
    <m/>
    <m/>
    <m/>
    <m/>
    <m/>
    <n v="36.976851847430225"/>
    <n v="1"/>
    <m/>
    <x v="3"/>
    <s v="Friday"/>
    <n v="5"/>
    <m/>
    <n v="0.7815829881077393"/>
    <m/>
    <n v="-38.033333328785375"/>
    <n v="0.12195121951219512"/>
    <m/>
    <m/>
    <n v="0.18776005471996854"/>
    <m/>
    <d v="1899-12-30T00:38:02"/>
    <m/>
    <m/>
    <m/>
    <n v="3"/>
    <n v="3900"/>
    <m/>
    <m/>
    <m/>
    <m/>
    <m/>
    <m/>
    <m/>
    <m/>
    <n v="41"/>
    <m/>
    <m/>
    <n v="38.033333328785375"/>
    <n v="52.645121950559634"/>
    <s v="Sunday"/>
    <m/>
    <m/>
    <m/>
  </r>
  <r>
    <n v="1"/>
    <d v="2015-01-26T02:09:48"/>
    <d v="1899-12-30T02:09:48"/>
    <d v="2015-01-26T02:47:22"/>
    <d v="1899-12-30T02:47:22"/>
    <s v="e8542a04d734d0cae36d648b3f519e5c"/>
    <s v="italian"/>
    <n v="1"/>
    <n v="3"/>
    <n v="3800"/>
    <n v="3"/>
    <n v="800"/>
    <n v="1800"/>
    <n v="21"/>
    <n v="18"/>
    <n v="20"/>
    <m/>
    <m/>
    <m/>
    <m/>
    <m/>
    <m/>
    <n v="36.523148149717599"/>
    <n v="2"/>
    <m/>
    <x v="4"/>
    <s v="Saturday"/>
    <n v="8"/>
    <m/>
    <n v="0.78005106263545254"/>
    <m/>
    <n v="-37.566666668280959"/>
    <n v="0.125"/>
    <m/>
    <m/>
    <n v="0.1956533588698697"/>
    <m/>
    <d v="1899-12-30T00:37:34"/>
    <m/>
    <m/>
    <m/>
    <n v="3"/>
    <n v="5000"/>
    <m/>
    <m/>
    <m/>
    <m/>
    <m/>
    <m/>
    <m/>
    <m/>
    <n v="40"/>
    <m/>
    <m/>
    <n v="37.566666668280959"/>
    <n v="53.010416666103993"/>
    <s v="Monday"/>
    <m/>
    <m/>
    <m/>
  </r>
  <r>
    <n v="1"/>
    <d v="2015-01-27T02:12:36"/>
    <d v="1899-12-30T02:12:36"/>
    <d v="2015-01-27T03:02:24"/>
    <d v="1899-12-30T03:02:24"/>
    <s v="ef1e491a766ce3127556063d49bc2f98"/>
    <s v="italian"/>
    <n v="1"/>
    <n v="2"/>
    <n v="3620"/>
    <n v="2"/>
    <n v="1425"/>
    <n v="2195"/>
    <n v="5"/>
    <n v="5"/>
    <n v="7"/>
    <m/>
    <m/>
    <m/>
    <m/>
    <m/>
    <m/>
    <n v="48.416666657431051"/>
    <n v="2"/>
    <m/>
    <x v="5"/>
    <s v="Sunday"/>
    <n v="4"/>
    <m/>
    <n v="0.78008846561065537"/>
    <m/>
    <n v="-49.79999999050051"/>
    <n v="0.12820512820512819"/>
    <m/>
    <m/>
    <n v="0.19564127750799026"/>
    <m/>
    <d v="1899-12-30T00:49:48"/>
    <m/>
    <m/>
    <m/>
    <n v="2"/>
    <n v="3900"/>
    <m/>
    <m/>
    <m/>
    <m/>
    <m/>
    <m/>
    <m/>
    <m/>
    <n v="39"/>
    <m/>
    <m/>
    <n v="49.79999999050051"/>
    <n v="53.406410255791762"/>
    <s v="Tuesday"/>
    <m/>
    <m/>
    <m/>
  </r>
  <r>
    <n v="1"/>
    <d v="2015-01-27T18:32:58"/>
    <d v="1899-12-30T18:32:58"/>
    <d v="2015-01-27T19:02:09"/>
    <d v="1899-12-30T19:02:09"/>
    <s v="197e342c9fbad962dbe6d3322f723ca6"/>
    <s v="cafe"/>
    <n v="4"/>
    <n v="2"/>
    <n v="595"/>
    <n v="2"/>
    <n v="200"/>
    <n v="295"/>
    <n v="5"/>
    <n v="1"/>
    <n v="1"/>
    <m/>
    <m/>
    <m/>
    <m/>
    <m/>
    <m/>
    <n v="28.372685186332092"/>
    <n v="18"/>
    <m/>
    <x v="5"/>
    <m/>
    <m/>
    <m/>
    <n v="0.78370518139199408"/>
    <m/>
    <n v="-29.183333334513009"/>
    <n v="0.13157894736842105"/>
    <m/>
    <m/>
    <n v="0.18931352496839984"/>
    <m/>
    <d v="1899-12-30T00:29:11"/>
    <m/>
    <m/>
    <m/>
    <n v="4"/>
    <n v="4850"/>
    <m/>
    <m/>
    <m/>
    <m/>
    <m/>
    <m/>
    <m/>
    <m/>
    <n v="38"/>
    <m/>
    <m/>
    <n v="29.183333334513009"/>
    <n v="53.501315789088899"/>
    <s v="Tuesday"/>
    <m/>
    <m/>
    <m/>
  </r>
  <r>
    <n v="1"/>
    <d v="2015-01-27T20:26:19"/>
    <d v="1899-12-30T20:26:19"/>
    <d v="2015-01-27T21:03:53"/>
    <d v="1899-12-30T21:03:53"/>
    <s v="50905d7b2216bfeccb5b41016357176b"/>
    <s v="NA"/>
    <n v="2"/>
    <n v="2"/>
    <n v="1725"/>
    <n v="2"/>
    <n v="825"/>
    <n v="900"/>
    <n v="21"/>
    <n v="18"/>
    <n v="18"/>
    <m/>
    <m/>
    <m/>
    <m/>
    <m/>
    <m/>
    <n v="36.523148139531258"/>
    <n v="20"/>
    <m/>
    <x v="5"/>
    <m/>
    <m/>
    <m/>
    <n v="0.78245639965130687"/>
    <m/>
    <n v="-37.56666665780358"/>
    <n v="0.10810810810810811"/>
    <m/>
    <m/>
    <n v="0.18059878781110819"/>
    <m/>
    <d v="1899-12-30T00:37:34"/>
    <m/>
    <m/>
    <m/>
    <n v="4"/>
    <n v="4771"/>
    <m/>
    <m/>
    <m/>
    <m/>
    <m/>
    <m/>
    <m/>
    <m/>
    <n v="37"/>
    <m/>
    <m/>
    <n v="37.56666665780358"/>
    <n v="54.158558558131496"/>
    <s v="Tuesday"/>
    <m/>
    <m/>
    <m/>
  </r>
  <r>
    <n v="3"/>
    <d v="2015-01-28T20:30:38"/>
    <d v="1899-12-30T20:30:38"/>
    <d v="2015-01-28T21:08:58"/>
    <d v="1899-12-30T21:08:58"/>
    <s v="f0ade77b43923b38237db569b016ba25"/>
    <s v="NA"/>
    <n v="1"/>
    <n v="3"/>
    <n v="5000"/>
    <n v="3"/>
    <n v="1500"/>
    <n v="1900"/>
    <n v="2"/>
    <n v="2"/>
    <n v="2"/>
    <m/>
    <m/>
    <m/>
    <m/>
    <m/>
    <m/>
    <n v="37.268518521159422"/>
    <n v="20"/>
    <m/>
    <x v="0"/>
    <m/>
    <m/>
    <m/>
    <n v="0.77954349290164582"/>
    <m/>
    <n v="-38.333333336049691"/>
    <n v="0.1111111111111111"/>
    <m/>
    <m/>
    <n v="0.1803465178076761"/>
    <m/>
    <d v="1899-12-30T00:38:20"/>
    <m/>
    <m/>
    <m/>
    <n v="2"/>
    <n v="2100"/>
    <m/>
    <m/>
    <m/>
    <m/>
    <m/>
    <m/>
    <m/>
    <m/>
    <n v="36"/>
    <m/>
    <m/>
    <n v="38.333333336049691"/>
    <n v="54.619444444251712"/>
    <s v="Wednesday"/>
    <m/>
    <m/>
    <m/>
  </r>
  <r>
    <n v="1"/>
    <d v="2015-01-28T20:33:04"/>
    <d v="1899-12-30T20:33:04"/>
    <d v="2015-01-28T21:04:14"/>
    <d v="1899-12-30T21:04:14"/>
    <s v="50905d7b2216bfeccb5b41016357176b"/>
    <s v="NA"/>
    <m/>
    <n v="3"/>
    <n v="1765"/>
    <n v="3"/>
    <n v="275"/>
    <n v="895"/>
    <n v="22"/>
    <n v="21"/>
    <n v="24"/>
    <m/>
    <m/>
    <m/>
    <m/>
    <m/>
    <m/>
    <n v="30.30092592962319"/>
    <n v="20"/>
    <m/>
    <x v="0"/>
    <m/>
    <m/>
    <m/>
    <n v="0.78265148251323102"/>
    <m/>
    <n v="-31.166666670469567"/>
    <n v="0.11428571428571428"/>
    <m/>
    <m/>
    <n v="0.18014173743839973"/>
    <m/>
    <d v="1899-12-30T00:31:10"/>
    <m/>
    <m/>
    <m/>
    <n v="4"/>
    <n v="4300"/>
    <m/>
    <m/>
    <m/>
    <m/>
    <m/>
    <m/>
    <m/>
    <m/>
    <n v="35"/>
    <m/>
    <m/>
    <n v="31.166666670469567"/>
    <n v="55.084761904486058"/>
    <s v="Wednesday"/>
    <m/>
    <m/>
    <m/>
  </r>
  <r>
    <n v="1"/>
    <d v="2015-01-28T21:37:38"/>
    <d v="1899-12-30T21:37:38"/>
    <d v="2015-01-28T22:11:53"/>
    <d v="1899-12-30T22:11:53"/>
    <s v="50905d7b2216bfeccb5b41016357176b"/>
    <s v="NA"/>
    <n v="2"/>
    <n v="3"/>
    <n v="1425"/>
    <n v="3"/>
    <n v="175"/>
    <n v="900"/>
    <n v="13"/>
    <n v="12"/>
    <n v="7"/>
    <m/>
    <m/>
    <m/>
    <m/>
    <m/>
    <m/>
    <n v="33.298611112695653"/>
    <n v="21"/>
    <m/>
    <x v="0"/>
    <m/>
    <m/>
    <m/>
    <n v="0.78799664030151595"/>
    <m/>
    <n v="-34.250000001629815"/>
    <n v="0.11764705882352941"/>
    <m/>
    <m/>
    <n v="0.18016456834523803"/>
    <m/>
    <d v="1899-12-30T00:34:15"/>
    <m/>
    <m/>
    <m/>
    <n v="2"/>
    <n v="2200"/>
    <m/>
    <m/>
    <m/>
    <m/>
    <m/>
    <m/>
    <m/>
    <m/>
    <n v="34"/>
    <m/>
    <m/>
    <n v="34.250000001629815"/>
    <n v="55.788235293721833"/>
    <s v="Wednesday"/>
    <m/>
    <m/>
    <m/>
  </r>
  <r>
    <n v="1"/>
    <d v="2015-01-30T01:43:09"/>
    <d v="1899-12-30T01:43:09"/>
    <d v="2015-01-30T02:20:42"/>
    <d v="1899-12-30T02:20:42"/>
    <s v="e8542a04d734d0cae36d648b3f519e5c"/>
    <s v="italian"/>
    <n v="1"/>
    <n v="2"/>
    <n v="2700"/>
    <n v="2"/>
    <n v="1200"/>
    <n v="1500"/>
    <n v="16"/>
    <n v="16"/>
    <n v="13"/>
    <m/>
    <m/>
    <m/>
    <m/>
    <m/>
    <m/>
    <n v="36.506944442226086"/>
    <n v="1"/>
    <m/>
    <x v="6"/>
    <m/>
    <m/>
    <m/>
    <n v="0.79621987774792735"/>
    <m/>
    <n v="-37.54999999771826"/>
    <n v="0.12121212121212122"/>
    <m/>
    <m/>
    <n v="0.17981421310828766"/>
    <m/>
    <d v="1899-12-30T00:37:33"/>
    <m/>
    <m/>
    <m/>
    <n v="1"/>
    <n v="1900"/>
    <m/>
    <m/>
    <m/>
    <m/>
    <m/>
    <m/>
    <m/>
    <m/>
    <n v="33"/>
    <m/>
    <m/>
    <n v="37.54999999771826"/>
    <n v="56.440909090451896"/>
    <s v="Friday"/>
    <m/>
    <m/>
    <m/>
  </r>
  <r>
    <n v="3"/>
    <d v="2015-01-30T19:49:30"/>
    <d v="1899-12-30T19:49:30"/>
    <d v="2015-01-30T20:28:45"/>
    <d v="1899-12-30T20:28:45"/>
    <s v="50905d7b2216bfeccb5b41016357176b"/>
    <s v="sandwich"/>
    <n v="2"/>
    <n v="4"/>
    <n v="3490"/>
    <n v="3"/>
    <n v="175"/>
    <n v="850"/>
    <n v="16"/>
    <n v="16"/>
    <n v="21"/>
    <m/>
    <m/>
    <m/>
    <m/>
    <m/>
    <m/>
    <n v="38.159722219279502"/>
    <n v="19"/>
    <m/>
    <x v="6"/>
    <m/>
    <m/>
    <m/>
    <n v="0.79474343869604192"/>
    <m/>
    <n v="-39.249999996973202"/>
    <n v="0.125"/>
    <m/>
    <m/>
    <n v="0.17785978790028517"/>
    <m/>
    <d v="1899-12-30T00:39:15"/>
    <m/>
    <m/>
    <m/>
    <n v="4"/>
    <n v="4986"/>
    <m/>
    <m/>
    <m/>
    <m/>
    <m/>
    <m/>
    <m/>
    <m/>
    <n v="32"/>
    <m/>
    <m/>
    <n v="39.249999996973202"/>
    <n v="57.031249999599822"/>
    <s v="Friday"/>
    <m/>
    <m/>
    <m/>
  </r>
  <r>
    <n v="3"/>
    <d v="2015-01-31T02:16:36"/>
    <d v="1899-12-30T02:16:36"/>
    <d v="2015-01-31T02:43:00"/>
    <d v="1899-12-30T02:43:00"/>
    <s v="f0ade77b43923b38237db569b016ba25"/>
    <s v="NA"/>
    <n v="1"/>
    <n v="2"/>
    <n v="3900"/>
    <n v="2"/>
    <n v="1200"/>
    <n v="2700"/>
    <n v="10"/>
    <n v="9"/>
    <n v="9"/>
    <m/>
    <m/>
    <m/>
    <m/>
    <m/>
    <m/>
    <n v="25.666666666802485"/>
    <n v="2"/>
    <m/>
    <x v="2"/>
    <m/>
    <m/>
    <m/>
    <n v="0.80080141691213258"/>
    <m/>
    <n v="-26.400000000139698"/>
    <n v="0.12903225806451613"/>
    <m/>
    <s v=" "/>
    <n v="0.1810740454933609"/>
    <m/>
    <d v="1899-12-30T00:26:24"/>
    <m/>
    <m/>
    <m/>
    <n v="1"/>
    <n v="1525"/>
    <m/>
    <m/>
    <m/>
    <m/>
    <m/>
    <m/>
    <m/>
    <m/>
    <n v="31"/>
    <m/>
    <m/>
    <n v="26.400000000139698"/>
    <n v="57.604838709361971"/>
    <s v="Saturday"/>
    <m/>
    <m/>
    <m/>
  </r>
  <r>
    <n v="1"/>
    <d v="2015-01-31T02:21:23"/>
    <d v="1899-12-30T02:21:23"/>
    <d v="2015-01-31T03:11:42"/>
    <d v="1899-12-30T03:11:42"/>
    <s v="ce016f59ecc2366a43e1c96a4774d167"/>
    <s v="mexican"/>
    <n v="1"/>
    <n v="2"/>
    <n v="950"/>
    <n v="2"/>
    <n v="150"/>
    <n v="700"/>
    <n v="24"/>
    <n v="24"/>
    <n v="26"/>
    <m/>
    <m/>
    <m/>
    <m/>
    <m/>
    <m/>
    <n v="48.918981477618217"/>
    <n v="2"/>
    <m/>
    <x v="2"/>
    <m/>
    <m/>
    <m/>
    <n v="0.80552184386239545"/>
    <m/>
    <n v="-50.316666662693024"/>
    <n v="0.1"/>
    <m/>
    <m/>
    <n v="0.17477043619251034"/>
    <m/>
    <d v="1899-12-30T00:50:19"/>
    <m/>
    <m/>
    <m/>
    <n v="2"/>
    <n v="3620"/>
    <m/>
    <m/>
    <m/>
    <m/>
    <m/>
    <m/>
    <m/>
    <m/>
    <n v="30"/>
    <m/>
    <m/>
    <n v="50.316666662693024"/>
    <n v="58.64499999966938"/>
    <s v="Saturday"/>
    <m/>
    <m/>
    <m/>
  </r>
  <r>
    <n v="1"/>
    <d v="2015-01-31T04:35:54"/>
    <d v="1899-12-30T04:35:54"/>
    <d v="2015-01-31T05:47:30"/>
    <d v="1899-12-30T05:47:30"/>
    <s v="ef1e491a766ce3127556063d49bc2f98"/>
    <s v="italian"/>
    <n v="1"/>
    <n v="2"/>
    <n v="3150"/>
    <n v="2"/>
    <n v="1425"/>
    <n v="1725"/>
    <n v="4"/>
    <n v="9"/>
    <n v="12"/>
    <m/>
    <m/>
    <m/>
    <m/>
    <m/>
    <m/>
    <n v="69.611111115955282"/>
    <n v="4"/>
    <m/>
    <x v="2"/>
    <m/>
    <m/>
    <m/>
    <n v="0.80353427922654441"/>
    <m/>
    <n v="-71.600000004982576"/>
    <n v="0.10344827586206896"/>
    <m/>
    <m/>
    <n v="0.17749398764339516"/>
    <m/>
    <d v="1899-12-30T01:11:36"/>
    <m/>
    <m/>
    <m/>
    <n v="3"/>
    <n v="4475"/>
    <m/>
    <m/>
    <m/>
    <m/>
    <m/>
    <m/>
    <m/>
    <m/>
    <n v="29"/>
    <m/>
    <m/>
    <n v="71.600000004982576"/>
    <n v="58.932183907840979"/>
    <s v="Saturday"/>
    <m/>
    <m/>
    <m/>
  </r>
  <r>
    <n v="1"/>
    <d v="2015-01-31T23:45:12"/>
    <d v="1899-12-30T23:45:12"/>
    <d v="2015-02-01T00:14:05"/>
    <d v="1899-12-30T00:14:05"/>
    <s v="ce016f59ecc2366a43e1c96a4774d167"/>
    <s v="mexican"/>
    <n v="1"/>
    <n v="5"/>
    <n v="1285"/>
    <n v="3"/>
    <n v="150"/>
    <n v="400"/>
    <n v="12"/>
    <n v="13"/>
    <n v="11"/>
    <m/>
    <m/>
    <m/>
    <m/>
    <m/>
    <m/>
    <n v="28.081018522789236"/>
    <n v="23"/>
    <m/>
    <x v="2"/>
    <m/>
    <m/>
    <m/>
    <n v="0.80347901236230845"/>
    <m/>
    <n v="-28.883333337726071"/>
    <n v="0.10714285714285714"/>
    <m/>
    <m/>
    <n v="0.1704428663489129"/>
    <m/>
    <n v="-0.97994212962657912"/>
    <m/>
    <m/>
    <m/>
    <n v="3"/>
    <n v="4375"/>
    <m/>
    <m/>
    <m/>
    <m/>
    <m/>
    <m/>
    <m/>
    <m/>
    <n v="28"/>
    <m/>
    <m/>
    <n v="28.883333337726071"/>
    <n v="58.479761904371635"/>
    <s v="Saturday"/>
    <m/>
    <m/>
    <m/>
  </r>
  <r>
    <n v="1"/>
    <d v="2015-02-02T05:27:49"/>
    <d v="1899-12-30T05:27:49"/>
    <d v="2015-02-02T07:05:09"/>
    <d v="1899-12-30T07:05:09"/>
    <s v="e8542a04d734d0cae36d648b3f519e5c"/>
    <s v="italian"/>
    <n v="1"/>
    <n v="7"/>
    <n v="14900"/>
    <n v="5"/>
    <n v="1200"/>
    <n v="3900"/>
    <n v="8"/>
    <n v="11"/>
    <n v="11"/>
    <m/>
    <m/>
    <m/>
    <m/>
    <m/>
    <m/>
    <n v="94.629629625706002"/>
    <n v="5"/>
    <m/>
    <x v="4"/>
    <m/>
    <m/>
    <m/>
    <n v="0.86940663658458783"/>
    <m/>
    <n v="-97.333333329297602"/>
    <n v="7.407407407407407E-2"/>
    <m/>
    <m/>
    <n v="0.18308573653879462"/>
    <m/>
    <d v="1899-12-30T01:37:20"/>
    <m/>
    <m/>
    <m/>
    <n v="2"/>
    <n v="3150"/>
    <m/>
    <m/>
    <m/>
    <m/>
    <m/>
    <m/>
    <m/>
    <m/>
    <n v="27"/>
    <m/>
    <m/>
    <n v="97.333333329297602"/>
    <n v="59.575925925358511"/>
    <s v="Monday"/>
    <m/>
    <m/>
    <m/>
  </r>
  <r>
    <n v="3"/>
    <d v="2015-02-02T19:22:53"/>
    <d v="1899-12-30T19:22:53"/>
    <d v="2015-02-02T20:09:19"/>
    <d v="1899-12-30T20:09:19"/>
    <s v="f0ade77b43923b38237db569b016ba25"/>
    <s v="NA"/>
    <n v="4"/>
    <n v="4"/>
    <n v="4300"/>
    <n v="4"/>
    <n v="1200"/>
    <n v="1500"/>
    <n v="1"/>
    <n v="1"/>
    <n v="1"/>
    <m/>
    <m/>
    <m/>
    <m/>
    <m/>
    <m/>
    <n v="45.143518518307246"/>
    <n v="19"/>
    <m/>
    <x v="4"/>
    <m/>
    <m/>
    <m/>
    <n v="0.92572100006075198"/>
    <m/>
    <n v="-46.433333333116025"/>
    <n v="7.6923076923076927E-2"/>
    <m/>
    <m/>
    <n v="0.22917940163697065"/>
    <m/>
    <d v="1899-12-30T00:46:26"/>
    <m/>
    <m/>
    <m/>
    <n v="2"/>
    <n v="950"/>
    <m/>
    <m/>
    <m/>
    <m/>
    <m/>
    <m/>
    <m/>
    <m/>
    <n v="26"/>
    <m/>
    <m/>
    <n v="46.433333333116025"/>
    <n v="58.123717948283925"/>
    <s v="Monday"/>
    <m/>
    <m/>
    <m/>
  </r>
  <r>
    <n v="3"/>
    <d v="2015-02-03T21:21:45"/>
    <d v="1899-12-30T21:21:45"/>
    <d v="2015-02-03T22:13:00"/>
    <d v="1899-12-30T22:13:00"/>
    <s v="f0ade77b43923b38237db569b016ba25"/>
    <s v="NA"/>
    <n v="1"/>
    <n v="6"/>
    <n v="6900"/>
    <n v="5"/>
    <n v="600"/>
    <n v="1800"/>
    <n v="1"/>
    <n v="1"/>
    <n v="2"/>
    <m/>
    <m/>
    <m/>
    <m/>
    <m/>
    <m/>
    <n v="49.826388883229811"/>
    <n v="21"/>
    <m/>
    <x v="5"/>
    <m/>
    <m/>
    <m/>
    <n v="0.92713331362552243"/>
    <m/>
    <n v="-51.249999994179234"/>
    <n v="0.08"/>
    <m/>
    <m/>
    <n v="0.24626902457455774"/>
    <m/>
    <d v="1899-12-30T00:51:15"/>
    <m/>
    <m/>
    <m/>
    <n v="5"/>
    <n v="1285"/>
    <m/>
    <m/>
    <m/>
    <m/>
    <m/>
    <m/>
    <m/>
    <m/>
    <n v="25"/>
    <m/>
    <m/>
    <n v="51.249999994179234"/>
    <n v="58.591333332890642"/>
    <s v="Tuesday"/>
    <m/>
    <m/>
    <m/>
  </r>
  <r>
    <n v="1"/>
    <d v="2015-02-06T00:42:42"/>
    <d v="1899-12-30T00:42:42"/>
    <d v="2015-02-06T02:10:29"/>
    <d v="1899-12-30T02:10:29"/>
    <s v="ef1e491a766ce3127556063d49bc2f98"/>
    <s v="italian"/>
    <n v="1"/>
    <n v="3"/>
    <n v="4475"/>
    <n v="3"/>
    <n v="925"/>
    <n v="1825"/>
    <n v="4"/>
    <n v="1"/>
    <n v="1"/>
    <m/>
    <m/>
    <m/>
    <m/>
    <m/>
    <m/>
    <n v="85.344907412945759"/>
    <n v="0"/>
    <m/>
    <x v="6"/>
    <m/>
    <m/>
    <m/>
    <n v="0.91848844032587351"/>
    <m/>
    <n v="-87.783333339029923"/>
    <n v="8.3333333333333329E-2"/>
    <m/>
    <m/>
    <n v="0.31385094388076684"/>
    <m/>
    <d v="1899-12-30T01:27:47"/>
    <m/>
    <m/>
    <m/>
    <n v="4"/>
    <n v="5800"/>
    <m/>
    <m/>
    <m/>
    <m/>
    <m/>
    <m/>
    <m/>
    <m/>
    <n v="24"/>
    <m/>
    <m/>
    <n v="87.783333339029923"/>
    <n v="58.89722222200362"/>
    <s v="Friday"/>
    <m/>
    <m/>
    <m/>
  </r>
  <r>
    <n v="1"/>
    <d v="2015-02-06T22:24:17"/>
    <d v="1899-12-30T22:24:17"/>
    <d v="2015-02-06T23:27:16"/>
    <d v="1899-12-30T23:27:16"/>
    <s v="df263d996281d984952c07998dc54358"/>
    <s v="american"/>
    <n v="1"/>
    <n v="4"/>
    <n v="3441"/>
    <n v="4"/>
    <n v="557"/>
    <n v="1239"/>
    <n v="33"/>
    <n v="14"/>
    <n v="21"/>
    <m/>
    <m/>
    <m/>
    <m/>
    <m/>
    <m/>
    <n v="61.23379628843395"/>
    <n v="22"/>
    <m/>
    <x v="6"/>
    <m/>
    <m/>
    <m/>
    <n v="0.92076647400188738"/>
    <m/>
    <n v="-62.983333325246349"/>
    <n v="8.6956521739130432E-2"/>
    <m/>
    <m/>
    <n v="0.31892960488206373"/>
    <m/>
    <d v="1899-12-30T01:02:59"/>
    <m/>
    <m/>
    <m/>
    <n v="2"/>
    <n v="2800"/>
    <m/>
    <m/>
    <m/>
    <m/>
    <m/>
    <m/>
    <m/>
    <m/>
    <n v="23"/>
    <m/>
    <m/>
    <n v="62.983333325246349"/>
    <n v="57.6413043473503"/>
    <s v="Friday"/>
    <m/>
    <m/>
    <m/>
  </r>
  <r>
    <n v="3"/>
    <d v="2015-02-07T01:34:31"/>
    <d v="1899-12-30T01:34:31"/>
    <d v="2015-02-07T02:17:14"/>
    <d v="1899-12-30T02:17:14"/>
    <s v="f0ade77b43923b38237db569b016ba25"/>
    <s v="NA"/>
    <n v="1"/>
    <n v="1"/>
    <n v="1900"/>
    <n v="1"/>
    <n v="1900"/>
    <n v="1900"/>
    <n v="6"/>
    <n v="3"/>
    <n v="3"/>
    <m/>
    <m/>
    <m/>
    <m/>
    <m/>
    <m/>
    <n v="41.530092593166046"/>
    <n v="1"/>
    <m/>
    <x v="2"/>
    <m/>
    <m/>
    <m/>
    <n v="0.93342824870615371"/>
    <m/>
    <n v="-42.716666667256504"/>
    <n v="9.0909090909090912E-2"/>
    <m/>
    <m/>
    <n v="0.33267408295617801"/>
    <m/>
    <d v="1899-12-30T00:42:43"/>
    <m/>
    <m/>
    <m/>
    <n v="7"/>
    <n v="14900"/>
    <m/>
    <m/>
    <m/>
    <m/>
    <m/>
    <m/>
    <m/>
    <m/>
    <n v="22"/>
    <m/>
    <m/>
    <n v="42.716666667256504"/>
    <n v="57.398484848355025"/>
    <s v="Saturday"/>
    <m/>
    <m/>
    <m/>
  </r>
  <r>
    <n v="4"/>
    <d v="2015-02-07T01:36:34"/>
    <d v="1899-12-30T01:36:34"/>
    <d v="2015-02-07T02:46:27"/>
    <d v="1899-12-30T02:46:27"/>
    <s v="ea119a40c1592979f51819b0bd38d39d"/>
    <s v="italian"/>
    <n v="1"/>
    <n v="4"/>
    <n v="5500"/>
    <n v="4"/>
    <n v="700"/>
    <n v="1900"/>
    <n v="117"/>
    <n v="112"/>
    <n v="178"/>
    <m/>
    <m/>
    <m/>
    <m/>
    <m/>
    <m/>
    <n v="67.942129631410353"/>
    <n v="1"/>
    <m/>
    <x v="2"/>
    <m/>
    <m/>
    <m/>
    <n v="0.93112623738496803"/>
    <m/>
    <n v="-69.883333335164934"/>
    <n v="9.5238095238095233E-2"/>
    <m/>
    <m/>
    <n v="0.31286406828940305"/>
    <m/>
    <d v="1899-12-30T01:09:53"/>
    <m/>
    <m/>
    <m/>
    <n v="3"/>
    <n v="3400"/>
    <m/>
    <m/>
    <m/>
    <m/>
    <m/>
    <m/>
    <m/>
    <m/>
    <n v="21"/>
    <m/>
    <m/>
    <n v="69.883333335164934"/>
    <n v="58.097619047454955"/>
    <s v="Saturday"/>
    <m/>
    <m/>
    <m/>
  </r>
  <r>
    <n v="1"/>
    <d v="2015-02-07T01:44:26"/>
    <d v="1899-12-30T01:44:26"/>
    <d v="2015-02-07T02:48:06"/>
    <d v="1899-12-30T02:48:06"/>
    <s v="e8542a04d734d0cae36d648b3f519e5c"/>
    <s v="italian"/>
    <n v="1"/>
    <n v="1"/>
    <n v="1800"/>
    <n v="1"/>
    <n v="1800"/>
    <n v="1800"/>
    <n v="22"/>
    <n v="21"/>
    <n v="20"/>
    <m/>
    <m/>
    <m/>
    <m/>
    <m/>
    <m/>
    <n v="61.898148152977228"/>
    <n v="1"/>
    <m/>
    <x v="2"/>
    <m/>
    <m/>
    <m/>
    <n v="0.93063356947249598"/>
    <m/>
    <n v="-63.66666667163372"/>
    <n v="0.1"/>
    <m/>
    <m/>
    <n v="0.28155500894736907"/>
    <m/>
    <d v="1899-12-30T01:03:40"/>
    <m/>
    <m/>
    <m/>
    <n v="3"/>
    <n v="3800"/>
    <m/>
    <m/>
    <m/>
    <m/>
    <m/>
    <m/>
    <m/>
    <m/>
    <n v="20"/>
    <m/>
    <m/>
    <n v="63.66666667163372"/>
    <n v="57.508333333069459"/>
    <s v="Saturday"/>
    <m/>
    <m/>
    <m/>
  </r>
  <r>
    <n v="1"/>
    <d v="2015-02-08T02:04:17"/>
    <d v="1899-12-30T02:04:17"/>
    <d v="2015-02-08T03:27:13"/>
    <d v="1899-12-30T03:27:13"/>
    <s v="ef1e491a766ce3127556063d49bc2f98"/>
    <s v="italian"/>
    <n v="1"/>
    <n v="3"/>
    <n v="4375"/>
    <n v="3"/>
    <n v="1325"/>
    <n v="1625"/>
    <n v="6"/>
    <n v="4"/>
    <n v="3"/>
    <m/>
    <m/>
    <m/>
    <m/>
    <m/>
    <m/>
    <n v="80.629629633040167"/>
    <n v="2"/>
    <m/>
    <x v="3"/>
    <m/>
    <m/>
    <m/>
    <n v="0.92746433369556236"/>
    <m/>
    <n v="-82.933333336841315"/>
    <n v="0.10526315789473684"/>
    <m/>
    <m/>
    <n v="0.28649836840608256"/>
    <m/>
    <d v="1899-12-30T01:22:56"/>
    <m/>
    <m/>
    <m/>
    <n v="1"/>
    <n v="1800"/>
    <m/>
    <m/>
    <m/>
    <m/>
    <m/>
    <m/>
    <m/>
    <m/>
    <n v="19"/>
    <m/>
    <m/>
    <n v="82.933333336841315"/>
    <n v="57.184210525776599"/>
    <s v="Sunday"/>
    <m/>
    <m/>
    <m/>
  </r>
  <r>
    <n v="4"/>
    <d v="2015-02-08T02:50:54"/>
    <d v="1899-12-30T02:50:54"/>
    <d v="2015-02-08T04:03:49"/>
    <d v="1899-12-30T04:03:49"/>
    <s v="ea119a40c1592979f51819b0bd38d39d"/>
    <s v="italian"/>
    <n v="1"/>
    <n v="4"/>
    <n v="7104"/>
    <n v="3"/>
    <n v="751"/>
    <n v="2191"/>
    <n v="121"/>
    <n v="119"/>
    <n v="205"/>
    <m/>
    <m/>
    <m/>
    <m/>
    <m/>
    <m/>
    <n v="70.891203702194616"/>
    <n v="2"/>
    <m/>
    <x v="3"/>
    <m/>
    <m/>
    <m/>
    <n v="0.92954595835222342"/>
    <m/>
    <n v="-72.916666665114462"/>
    <n v="0.1111111111111111"/>
    <m/>
    <m/>
    <n v="0.28988699897433168"/>
    <m/>
    <d v="1899-12-30T01:12:55"/>
    <m/>
    <m/>
    <m/>
    <n v="4"/>
    <n v="5800"/>
    <m/>
    <m/>
    <m/>
    <m/>
    <m/>
    <m/>
    <m/>
    <m/>
    <n v="18"/>
    <m/>
    <m/>
    <n v="72.916666665114462"/>
    <n v="55.753703702939674"/>
    <s v="Sunday"/>
    <m/>
    <m/>
    <m/>
  </r>
  <r>
    <n v="2"/>
    <d v="2015-02-09T20:29:30"/>
    <d v="1899-12-30T20:29:30"/>
    <d v="2015-02-09T21:17:34"/>
    <d v="1899-12-30T21:17:34"/>
    <s v="50905d7b2216bfeccb5b41016357176b"/>
    <s v="thai"/>
    <n v="5"/>
    <n v="1"/>
    <n v="1220"/>
    <n v="1"/>
    <n v="825"/>
    <n v="825"/>
    <n v="21"/>
    <n v="21"/>
    <n v="20"/>
    <m/>
    <m/>
    <m/>
    <m/>
    <m/>
    <m/>
    <n v="46.73148148576729"/>
    <n v="20"/>
    <m/>
    <x v="4"/>
    <m/>
    <m/>
    <m/>
    <n v="0.96139465231059384"/>
    <m/>
    <n v="-48.066666671074927"/>
    <n v="0.11764705882352941"/>
    <m/>
    <m/>
    <n v="0.25989446220379858"/>
    <m/>
    <d v="1899-12-30T00:48:04"/>
    <m/>
    <m/>
    <m/>
    <n v="3"/>
    <n v="3800"/>
    <m/>
    <m/>
    <m/>
    <m/>
    <m/>
    <m/>
    <m/>
    <m/>
    <n v="17"/>
    <m/>
    <m/>
    <n v="48.066666671074927"/>
    <n v="54.744117646341159"/>
    <s v="Monday"/>
    <m/>
    <m/>
    <m/>
  </r>
  <r>
    <n v="1"/>
    <d v="2015-02-10T04:36:39"/>
    <d v="1899-12-30T04:36:39"/>
    <d v="2015-02-10T05:20:37"/>
    <d v="1899-12-30T05:20:37"/>
    <s v="e8542a04d734d0cae36d648b3f519e5c"/>
    <s v="italian"/>
    <n v="1"/>
    <n v="4"/>
    <n v="5800"/>
    <n v="4"/>
    <n v="700"/>
    <n v="2000"/>
    <n v="13"/>
    <n v="16"/>
    <n v="27"/>
    <m/>
    <m/>
    <m/>
    <m/>
    <m/>
    <m/>
    <n v="42.745370369812008"/>
    <n v="4"/>
    <m/>
    <x v="5"/>
    <m/>
    <m/>
    <m/>
    <n v="0.95883661032966694"/>
    <m/>
    <n v="-43.966666666092351"/>
    <n v="0.125"/>
    <m/>
    <m/>
    <n v="0.27404589257126349"/>
    <m/>
    <d v="1899-12-30T00:43:58"/>
    <m/>
    <m/>
    <m/>
    <n v="1"/>
    <n v="1800"/>
    <m/>
    <m/>
    <m/>
    <m/>
    <m/>
    <m/>
    <m/>
    <m/>
    <n v="16"/>
    <m/>
    <m/>
    <n v="43.966666666092351"/>
    <n v="55.161458332295297"/>
    <s v="Tuesday"/>
    <m/>
    <m/>
    <m/>
  </r>
  <r>
    <n v="1"/>
    <d v="2015-02-10T20:05:17"/>
    <d v="1899-12-30T20:05:17"/>
    <d v="2015-02-10T20:34:43"/>
    <d v="1899-12-30T20:34:43"/>
    <s v="50905d7b2216bfeccb5b41016357176b"/>
    <s v="NA"/>
    <n v="2"/>
    <n v="1"/>
    <n v="1220"/>
    <n v="1"/>
    <n v="825"/>
    <n v="825"/>
    <n v="21"/>
    <n v="21"/>
    <n v="20"/>
    <m/>
    <m/>
    <m/>
    <m/>
    <m/>
    <m/>
    <n v="28.615740737586748"/>
    <n v="20"/>
    <m/>
    <x v="5"/>
    <m/>
    <m/>
    <m/>
    <n v="0.96851699906665789"/>
    <m/>
    <n v="-29.433333330089226"/>
    <n v="0.13333333333333333"/>
    <m/>
    <s v=" "/>
    <n v="0.2805671193592158"/>
    <m/>
    <d v="1899-12-30T00:29:26"/>
    <m/>
    <m/>
    <m/>
    <n v="2"/>
    <n v="2700"/>
    <m/>
    <m/>
    <m/>
    <m/>
    <m/>
    <m/>
    <m/>
    <m/>
    <n v="15"/>
    <m/>
    <m/>
    <n v="29.433333330089226"/>
    <n v="55.907777776708826"/>
    <s v="Tuesday"/>
    <m/>
    <m/>
    <m/>
  </r>
  <r>
    <n v="2"/>
    <d v="2015-02-10T21:49:25"/>
    <d v="1899-12-30T21:49:25"/>
    <d v="2015-02-10T22:56:29"/>
    <d v="1899-12-30T22:56:29"/>
    <s v="f0ade77b43923b38237db569b016ba25"/>
    <s v="mexican"/>
    <n v="2"/>
    <n v="1"/>
    <n v="1900"/>
    <n v="1"/>
    <n v="1400"/>
    <n v="1400"/>
    <n v="1"/>
    <n v="2"/>
    <n v="2"/>
    <m/>
    <m/>
    <m/>
    <m/>
    <m/>
    <m/>
    <n v="65.20370370708406"/>
    <n v="21"/>
    <m/>
    <x v="5"/>
    <m/>
    <m/>
    <m/>
    <n v="0.96638950564991899"/>
    <m/>
    <n v="-67.066666670143604"/>
    <n v="7.1428571428571425E-2"/>
    <m/>
    <m/>
    <n v="0.29749267871098506"/>
    <m/>
    <d v="1899-12-30T01:07:04"/>
    <m/>
    <m/>
    <m/>
    <n v="4"/>
    <n v="3490"/>
    <m/>
    <m/>
    <m/>
    <m/>
    <m/>
    <m/>
    <m/>
    <m/>
    <n v="14"/>
    <m/>
    <m/>
    <n v="67.066666670143604"/>
    <n v="57.798809522895944"/>
    <s v="Tuesday"/>
    <m/>
    <m/>
    <m/>
  </r>
  <r>
    <n v="3"/>
    <d v="2015-02-12T03:03:35"/>
    <d v="1899-12-30T03:03:35"/>
    <d v="2015-02-12T03:36:20"/>
    <d v="1899-12-30T03:36:20"/>
    <s v="f0ade77b43923b38237db569b016ba25"/>
    <s v="NA"/>
    <n v="1"/>
    <n v="4"/>
    <n v="4850"/>
    <n v="4"/>
    <n v="750"/>
    <n v="1800"/>
    <n v="7"/>
    <n v="8"/>
    <n v="7"/>
    <m/>
    <m/>
    <m/>
    <m/>
    <m/>
    <m/>
    <n v="31.840277774608694"/>
    <n v="3"/>
    <m/>
    <x v="1"/>
    <m/>
    <m/>
    <m/>
    <n v="0.96482098305268271"/>
    <m/>
    <n v="-32.749999996740371"/>
    <n v="7.6923076923076927E-2"/>
    <m/>
    <m/>
    <n v="0.26703376646643812"/>
    <m/>
    <d v="1899-12-30T00:32:45"/>
    <m/>
    <m/>
    <m/>
    <n v="3"/>
    <n v="1765"/>
    <m/>
    <m/>
    <m/>
    <m/>
    <m/>
    <m/>
    <m/>
    <m/>
    <n v="13"/>
    <m/>
    <m/>
    <n v="32.749999996740371"/>
    <n v="57.085897434646121"/>
    <s v="Thursday"/>
    <m/>
    <m/>
    <m/>
  </r>
  <r>
    <n v="1"/>
    <d v="2015-02-12T03:36:46"/>
    <d v="1899-12-30T03:36:46"/>
    <d v="2015-02-12T04:14:39"/>
    <d v="1899-12-30T04:14:39"/>
    <s v="ef1e491a766ce3127556063d49bc2f98"/>
    <s v="italian"/>
    <n v="1"/>
    <n v="1"/>
    <n v="1525"/>
    <n v="1"/>
    <n v="1525"/>
    <n v="1525"/>
    <n v="5"/>
    <n v="6"/>
    <n v="8"/>
    <m/>
    <m/>
    <m/>
    <m/>
    <m/>
    <m/>
    <n v="36.831018510565627"/>
    <n v="3"/>
    <m/>
    <x v="1"/>
    <m/>
    <m/>
    <m/>
    <n v="0.96490554670753759"/>
    <m/>
    <n v="-37.883333325153217"/>
    <n v="8.3333333333333329E-2"/>
    <m/>
    <m/>
    <n v="0.2842970897818865"/>
    <m/>
    <d v="1899-12-30T00:37:53"/>
    <m/>
    <m/>
    <m/>
    <n v="1"/>
    <n v="975"/>
    <m/>
    <m/>
    <m/>
    <m/>
    <m/>
    <m/>
    <m/>
    <m/>
    <n v="12"/>
    <m/>
    <m/>
    <n v="37.883333325153217"/>
    <n v="59.113888887804933"/>
    <s v="Thursday"/>
    <m/>
    <m/>
    <m/>
  </r>
  <r>
    <n v="1"/>
    <d v="2015-02-12T20:27:42"/>
    <d v="1899-12-30T20:27:42"/>
    <d v="2015-02-12T21:18:29"/>
    <d v="1899-12-30T21:18:29"/>
    <s v="50905d7b2216bfeccb5b41016357176b"/>
    <s v="NA"/>
    <n v="2"/>
    <n v="1"/>
    <n v="975"/>
    <n v="1"/>
    <n v="975"/>
    <n v="975"/>
    <n v="24"/>
    <n v="25"/>
    <n v="30"/>
    <m/>
    <m/>
    <m/>
    <m/>
    <m/>
    <m/>
    <n v="49.372685185517184"/>
    <n v="20"/>
    <m/>
    <x v="1"/>
    <m/>
    <m/>
    <m/>
    <n v="0.9600892541967686"/>
    <m/>
    <n v="-50.783333333674818"/>
    <n v="9.0909090909090912E-2"/>
    <m/>
    <m/>
    <n v="0.25456369650052857"/>
    <m/>
    <d v="1899-12-30T00:50:47"/>
    <m/>
    <m/>
    <m/>
    <n v="3"/>
    <n v="1425"/>
    <m/>
    <m/>
    <m/>
    <m/>
    <m/>
    <m/>
    <m/>
    <m/>
    <n v="11"/>
    <m/>
    <m/>
    <n v="50.783333333674818"/>
    <n v="61.043939393500544"/>
    <s v="Thursday"/>
    <m/>
    <m/>
    <m/>
  </r>
  <r>
    <n v="1"/>
    <d v="2015-02-13T01:01:58"/>
    <d v="1899-12-30T01:01:58"/>
    <d v="2015-02-13T01:40:09"/>
    <d v="1899-12-30T01:40:09"/>
    <s v="e8542a04d734d0cae36d648b3f519e5c"/>
    <s v="italian"/>
    <n v="1"/>
    <n v="3"/>
    <n v="3800"/>
    <n v="3"/>
    <n v="700"/>
    <n v="1600"/>
    <n v="16"/>
    <n v="9"/>
    <n v="7"/>
    <m/>
    <m/>
    <m/>
    <m/>
    <m/>
    <m/>
    <n v="37.122685194481164"/>
    <n v="1"/>
    <m/>
    <x v="6"/>
    <m/>
    <m/>
    <m/>
    <n v="0.95547152941146118"/>
    <m/>
    <n v="-38.183333342894912"/>
    <n v="0.1"/>
    <m/>
    <m/>
    <n v="0.28931518542691936"/>
    <m/>
    <d v="1899-12-30T00:38:11"/>
    <m/>
    <m/>
    <m/>
    <n v="1"/>
    <n v="1220"/>
    <m/>
    <m/>
    <m/>
    <m/>
    <m/>
    <m/>
    <m/>
    <m/>
    <n v="10"/>
    <m/>
    <m/>
    <n v="38.183333342894912"/>
    <n v="62.069999999483116"/>
    <s v="Friday"/>
    <m/>
    <m/>
    <m/>
  </r>
  <r>
    <n v="4"/>
    <d v="2015-02-14T03:04:07"/>
    <d v="1899-12-30T03:04:07"/>
    <d v="2015-02-14T04:25:25"/>
    <d v="1899-12-30T04:25:25"/>
    <s v="ea119a40c1592979f51819b0bd38d39d"/>
    <s v="italian"/>
    <n v="1"/>
    <n v="5"/>
    <n v="5400"/>
    <n v="3"/>
    <n v="600"/>
    <n v="2200"/>
    <n v="130"/>
    <n v="129"/>
    <n v="230"/>
    <m/>
    <m/>
    <m/>
    <m/>
    <m/>
    <m/>
    <n v="79.041666665580124"/>
    <n v="3"/>
    <m/>
    <x v="2"/>
    <m/>
    <m/>
    <m/>
    <n v="0.95568404043689348"/>
    <m/>
    <n v="-81.299999998882413"/>
    <n v="0.1111111111111111"/>
    <m/>
    <m/>
    <n v="0.27917556796036963"/>
    <m/>
    <d v="1899-12-30T01:21:18"/>
    <m/>
    <m/>
    <m/>
    <n v="2"/>
    <n v="1750"/>
    <m/>
    <m/>
    <m/>
    <m/>
    <m/>
    <m/>
    <m/>
    <m/>
    <n v="9"/>
    <m/>
    <m/>
    <n v="81.299999998882413"/>
    <n v="64.724074072437361"/>
    <s v="Saturday"/>
    <m/>
    <m/>
    <m/>
  </r>
  <r>
    <n v="1"/>
    <d v="2015-02-15T01:26:20"/>
    <d v="1899-12-30T01:26:20"/>
    <d v="2015-02-15T02:16:07"/>
    <d v="1899-12-30T02:16:07"/>
    <s v="e8542a04d734d0cae36d648b3f519e5c"/>
    <s v="italian"/>
    <n v="1"/>
    <n v="2"/>
    <n v="2800"/>
    <n v="2"/>
    <n v="1200"/>
    <n v="1600"/>
    <n v="21"/>
    <n v="17"/>
    <n v="16"/>
    <m/>
    <m/>
    <m/>
    <m/>
    <m/>
    <m/>
    <n v="48.400462960125878"/>
    <n v="1"/>
    <m/>
    <x v="3"/>
    <m/>
    <m/>
    <m/>
    <n v="0.95343956810061503"/>
    <m/>
    <n v="-49.783333330415189"/>
    <n v="0.125"/>
    <m/>
    <m/>
    <n v="0.14759562160166309"/>
    <m/>
    <d v="1899-12-30T00:49:47"/>
    <m/>
    <m/>
    <m/>
    <n v="8"/>
    <n v="7870"/>
    <m/>
    <m/>
    <m/>
    <m/>
    <m/>
    <m/>
    <m/>
    <m/>
    <n v="8"/>
    <m/>
    <m/>
    <n v="49.783333330415189"/>
    <n v="62.652083331631729"/>
    <s v="Sunday"/>
    <m/>
    <m/>
    <m/>
  </r>
  <r>
    <n v="3"/>
    <d v="2015-02-15T02:40:36"/>
    <d v="1899-12-30T02:40:36"/>
    <d v="2015-02-15T03:20:26"/>
    <d v="1899-12-30T03:20:26"/>
    <s v="f0ade77b43923b38237db569b016ba25"/>
    <s v="NA"/>
    <n v="1"/>
    <n v="3"/>
    <n v="3900"/>
    <n v="3"/>
    <n v="1100"/>
    <n v="1600"/>
    <n v="6"/>
    <n v="6"/>
    <n v="9"/>
    <m/>
    <m/>
    <m/>
    <m/>
    <m/>
    <m/>
    <n v="38.72685184906004"/>
    <n v="2"/>
    <m/>
    <x v="3"/>
    <m/>
    <m/>
    <m/>
    <n v="0.95009263531798382"/>
    <m/>
    <n v="-39.833333330461755"/>
    <n v="0.14285714285714285"/>
    <m/>
    <m/>
    <n v="0.28117709647147671"/>
    <m/>
    <d v="1899-12-30T00:39:50"/>
    <m/>
    <m/>
    <m/>
    <n v="2"/>
    <n v="1725"/>
    <m/>
    <m/>
    <m/>
    <m/>
    <m/>
    <m/>
    <m/>
    <m/>
    <n v="7"/>
    <m/>
    <m/>
    <n v="39.833333330461755"/>
    <n v="64.490476188948378"/>
    <s v="Sunday"/>
    <m/>
    <m/>
    <m/>
  </r>
  <r>
    <n v="2"/>
    <d v="2015-02-16T00:11:35"/>
    <d v="1899-12-30T00:11:35"/>
    <d v="2015-02-16T00:38:01"/>
    <d v="1899-12-30T00:38:01"/>
    <s v="f0ade77b43923b38237db569b016ba25"/>
    <s v="indian"/>
    <n v="3"/>
    <n v="4"/>
    <n v="4771"/>
    <n v="3"/>
    <n v="820"/>
    <n v="1604"/>
    <n v="8"/>
    <n v="6"/>
    <n v="18"/>
    <m/>
    <m/>
    <m/>
    <m/>
    <m/>
    <m/>
    <n v="25.699074071599171"/>
    <n v="0"/>
    <m/>
    <x v="4"/>
    <m/>
    <m/>
    <m/>
    <n v="0.95178107805977485"/>
    <m/>
    <n v="-26.433333330787718"/>
    <n v="0.16666666666666666"/>
    <m/>
    <m/>
    <n v="0.25723301699183415"/>
    <m/>
    <d v="1899-12-30T00:26:26"/>
    <m/>
    <m/>
    <m/>
    <n v="3"/>
    <n v="2015"/>
    <m/>
    <m/>
    <m/>
    <m/>
    <m/>
    <m/>
    <m/>
    <m/>
    <n v="6"/>
    <m/>
    <m/>
    <n v="26.433333330787718"/>
    <n v="68.599999998696148"/>
    <s v="Monday"/>
    <m/>
    <m/>
    <m/>
  </r>
  <r>
    <n v="1"/>
    <d v="2015-02-16T02:21:20"/>
    <d v="1899-12-30T02:21:20"/>
    <d v="2015-02-16T03:54:14"/>
    <d v="1899-12-30T03:54:14"/>
    <s v="e8542a04d734d0cae36d648b3f519e5c"/>
    <s v="italian"/>
    <n v="1"/>
    <n v="3"/>
    <n v="3400"/>
    <n v="3"/>
    <n v="1400"/>
    <n v="2100"/>
    <n v="22"/>
    <n v="21"/>
    <n v="39"/>
    <m/>
    <m/>
    <m/>
    <m/>
    <m/>
    <m/>
    <n v="90.319444441411179"/>
    <n v="2"/>
    <m/>
    <x v="4"/>
    <m/>
    <m/>
    <m/>
    <n v="0.95300212893591296"/>
    <m/>
    <n v="-92.899999996880069"/>
    <n v="0"/>
    <m/>
    <m/>
    <n v="0.27653549257951066"/>
    <m/>
    <d v="1899-12-30T01:32:54"/>
    <m/>
    <m/>
    <m/>
    <n v="1"/>
    <n v="1220"/>
    <m/>
    <m/>
    <m/>
    <m/>
    <m/>
    <m/>
    <m/>
    <m/>
    <n v="5"/>
    <m/>
    <m/>
    <n v="92.899999996880069"/>
    <n v="77.033333332277834"/>
    <s v="Monday"/>
    <m/>
    <m/>
    <m/>
  </r>
  <r>
    <n v="3"/>
    <d v="2015-02-16T04:19:33"/>
    <d v="1899-12-30T04:19:33"/>
    <d v="2015-02-16T06:34:00"/>
    <d v="1899-12-30T06:34:00"/>
    <s v="f0ade77b43923b38237db569b016ba25"/>
    <s v="NA"/>
    <n v="1"/>
    <n v="2"/>
    <n v="2200"/>
    <n v="2"/>
    <n v="600"/>
    <n v="1600"/>
    <n v="3"/>
    <n v="3"/>
    <n v="4"/>
    <m/>
    <m/>
    <m/>
    <m/>
    <m/>
    <m/>
    <n v="130.71527777501615"/>
    <n v="4"/>
    <m/>
    <x v="4"/>
    <m/>
    <m/>
    <m/>
    <n v="0.95141904173364833"/>
    <m/>
    <n v="-134.44999999715947"/>
    <n v="0"/>
    <m/>
    <m/>
    <n v="0.50516100202717051"/>
    <m/>
    <d v="1899-12-30T02:14:27"/>
    <m/>
    <m/>
    <m/>
    <n v="2"/>
    <n v="595"/>
    <m/>
    <m/>
    <m/>
    <m/>
    <m/>
    <m/>
    <m/>
    <m/>
    <n v="4"/>
    <m/>
    <m/>
    <n v="134.44999999715947"/>
    <n v="73.066666666127276"/>
    <s v="Monday"/>
    <m/>
    <m/>
    <m/>
  </r>
  <r>
    <n v="1"/>
    <d v="2015-02-16T19:19:17"/>
    <d v="1899-12-30T19:19:17"/>
    <d v="2015-02-16T20:16:43"/>
    <d v="1899-12-30T20:16:43"/>
    <s v="50905d7b2216bfeccb5b41016357176b"/>
    <s v="NA"/>
    <n v="2"/>
    <n v="8"/>
    <n v="7870"/>
    <n v="6"/>
    <n v="825"/>
    <n v="895"/>
    <n v="12"/>
    <n v="11"/>
    <n v="9"/>
    <m/>
    <m/>
    <m/>
    <m/>
    <m/>
    <m/>
    <n v="55.83796296705259"/>
    <n v="19"/>
    <m/>
    <x v="4"/>
    <m/>
    <m/>
    <m/>
    <n v="0.93875363320081395"/>
    <m/>
    <n v="-57.433333337539807"/>
    <n v="0"/>
    <m/>
    <m/>
    <n v="0.35921060405354976"/>
    <m/>
    <d v="1899-12-30T00:57:26"/>
    <m/>
    <m/>
    <m/>
    <n v="4"/>
    <n v="5500"/>
    <m/>
    <m/>
    <m/>
    <m/>
    <m/>
    <m/>
    <m/>
    <m/>
    <n v="3"/>
    <m/>
    <m/>
    <n v="57.433333337539807"/>
    <n v="52.605555555783212"/>
    <s v="Monday"/>
    <m/>
    <m/>
    <m/>
  </r>
  <r>
    <n v="1"/>
    <d v="2015-02-17T03:13:20"/>
    <d v="1899-12-30T03:13:20"/>
    <d v="2015-02-17T04:00:31"/>
    <d v="1899-12-30T04:00:31"/>
    <s v="e8542a04d734d0cae36d648b3f519e5c"/>
    <s v="italian"/>
    <n v="1"/>
    <n v="4"/>
    <n v="5800"/>
    <n v="4"/>
    <n v="700"/>
    <n v="2000"/>
    <n v="19"/>
    <n v="19"/>
    <n v="30"/>
    <m/>
    <m/>
    <m/>
    <m/>
    <m/>
    <m/>
    <n v="45.872685182257555"/>
    <n v="3"/>
    <m/>
    <x v="5"/>
    <m/>
    <m/>
    <m/>
    <m/>
    <m/>
    <m/>
    <n v="0"/>
    <m/>
    <m/>
    <n v="1"/>
    <m/>
    <d v="1899-12-30T00:47:11"/>
    <m/>
    <m/>
    <m/>
    <n v="5"/>
    <n v="5400"/>
    <m/>
    <m/>
    <m/>
    <m/>
    <m/>
    <m/>
    <m/>
    <m/>
    <n v="2"/>
    <m/>
    <m/>
    <n v="47.183333330322057"/>
    <n v="50.191666664904915"/>
    <s v="Tuesday"/>
    <m/>
    <m/>
    <m/>
  </r>
  <r>
    <n v="3"/>
    <d v="2015-02-18T01:15:45"/>
    <d v="1899-12-30T01:15:45"/>
    <d v="2015-02-18T02:08:57"/>
    <d v="1899-12-30T02:08:57"/>
    <s v="f0ade77b43923b38237db569b016ba25"/>
    <s v="NA"/>
    <n v="1"/>
    <n v="2"/>
    <n v="2100"/>
    <n v="2"/>
    <n v="700"/>
    <n v="1200"/>
    <n v="2"/>
    <n v="2"/>
    <n v="2"/>
    <m/>
    <m/>
    <m/>
    <m/>
    <m/>
    <m/>
    <n v="51.722222221724223"/>
    <n v="1"/>
    <m/>
    <x v="0"/>
    <m/>
    <m/>
    <m/>
    <m/>
    <m/>
    <m/>
    <m/>
    <m/>
    <m/>
    <m/>
    <m/>
    <m/>
    <m/>
    <m/>
    <m/>
    <n v="4"/>
    <n v="7104"/>
    <m/>
    <m/>
    <m/>
    <m/>
    <m/>
    <m/>
    <m/>
    <m/>
    <n v="1"/>
    <m/>
    <m/>
    <n v="53.199999999487773"/>
    <n v="53.199999999487773"/>
    <s v="Wednesday"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d v="2015-01-21T20:35:27"/>
    <d v="1899-12-30T20:35:27"/>
    <d v="2015-01-21T21:01:26"/>
    <d v="1899-12-30T21:01:26"/>
    <s v="50905d7b2216bfeccb5b41016357176b"/>
    <s v="NA"/>
    <n v="2"/>
    <n v="2"/>
    <n v="1750"/>
    <n v="2"/>
    <n v="825"/>
    <n v="825"/>
    <n v="18"/>
    <n v="18"/>
    <n v="20"/>
    <m/>
    <m/>
    <m/>
    <n v="1"/>
    <n v="27"/>
    <m/>
    <n v="25.261574071191717"/>
    <n v="20"/>
    <m/>
    <s v="Wednesday"/>
    <s v="Monday"/>
    <n v="8"/>
    <m/>
    <n v="0.78369900049790808"/>
    <m/>
    <n v="-25.983333330368623"/>
    <n v="0.15555555555555556"/>
    <m/>
    <m/>
    <n v="0.19193581905596047"/>
    <m/>
    <d v="1899-12-30T00:25:59"/>
    <m/>
    <m/>
    <m/>
    <n v="4"/>
    <n v="3441"/>
    <m/>
    <m/>
    <m/>
    <m/>
    <m/>
    <m/>
    <m/>
    <m/>
    <n v="45"/>
    <m/>
    <m/>
    <n v="25.983333330368623"/>
    <n v="51.27962962910533"/>
    <s v="Wednesday"/>
    <m/>
    <n v="1"/>
    <n v="3287.4444444444443"/>
    <m/>
    <x v="0"/>
  </r>
  <r>
    <n v="1"/>
    <d v="2015-01-22T20:19:08"/>
    <d v="1899-12-30T20:19:08"/>
    <d v="2015-01-22T21:07:43"/>
    <d v="1899-12-30T21:07:43"/>
    <s v="50905d7b2216bfeccb5b41016357176b"/>
    <s v="NA"/>
    <n v="2"/>
    <n v="3"/>
    <n v="2015"/>
    <n v="3"/>
    <n v="395"/>
    <n v="1025"/>
    <n v="22"/>
    <n v="13"/>
    <n v="13"/>
    <m/>
    <m/>
    <m/>
    <n v="2"/>
    <n v="3"/>
    <m/>
    <n v="47.233796295768116"/>
    <n v="20"/>
    <m/>
    <s v="Thursday"/>
    <s v="Tuesday"/>
    <n v="8"/>
    <m/>
    <n v="0.78177412843006122"/>
    <m/>
    <n v="-48.583333332790062"/>
    <n v="0.13636363636363635"/>
    <m/>
    <m/>
    <n v="0.19242289195524179"/>
    <m/>
    <d v="1899-12-30T00:48:35"/>
    <m/>
    <m/>
    <m/>
    <n v="1"/>
    <n v="1900"/>
    <m/>
    <m/>
    <m/>
    <s v="total_items"/>
    <s v="subtotal"/>
    <m/>
    <m/>
    <m/>
    <n v="44"/>
    <m/>
    <m/>
    <n v="48.583333332790062"/>
    <n v="51.854545454076622"/>
    <s v="Thursday"/>
    <m/>
    <n v="3"/>
    <n v="3785.5"/>
    <m/>
    <x v="1"/>
  </r>
  <r>
    <n v="3"/>
    <d v="2015-01-22T20:39:28"/>
    <d v="1899-12-30T20:39:28"/>
    <d v="2015-01-22T21:09:09"/>
    <d v="1899-12-30T21:09:09"/>
    <s v="f0ade77b43923b38237db569b016ba25"/>
    <s v="NA"/>
    <n v="1"/>
    <n v="1"/>
    <n v="1900"/>
    <n v="1"/>
    <n v="1900"/>
    <n v="1900"/>
    <n v="1"/>
    <n v="0"/>
    <n v="0"/>
    <m/>
    <m/>
    <m/>
    <n v="3"/>
    <n v="12"/>
    <m/>
    <n v="28.858796299027745"/>
    <n v="20"/>
    <m/>
    <s v="Thursday"/>
    <s v="Wednesday"/>
    <n v="4"/>
    <m/>
    <n v="0.78589053686602217"/>
    <m/>
    <n v="-29.683333336142823"/>
    <n v="0.13953488372093023"/>
    <m/>
    <m/>
    <n v="0.19263864415133253"/>
    <m/>
    <d v="1899-12-30T00:29:41"/>
    <m/>
    <m/>
    <m/>
    <n v="1"/>
    <n v="1900"/>
    <m/>
    <m/>
    <s v="total_items"/>
    <n v="1"/>
    <m/>
    <m/>
    <m/>
    <m/>
    <n v="43"/>
    <m/>
    <m/>
    <n v="29.683333336142823"/>
    <n v="51.930620154571656"/>
    <s v="Thursday"/>
    <m/>
    <n v="4"/>
    <n v="6001.333333333333"/>
    <m/>
    <x v="0"/>
  </r>
  <r>
    <n v="1"/>
    <d v="2015-01-24T02:01:20"/>
    <d v="1899-12-30T02:01:20"/>
    <d v="2015-01-24T02:46:13"/>
    <d v="1899-12-30T02:46:13"/>
    <s v="e8542a04d734d0cae36d648b3f519e5c"/>
    <s v="italian"/>
    <n v="1"/>
    <n v="1"/>
    <n v="1800"/>
    <n v="1"/>
    <n v="1800"/>
    <n v="1800"/>
    <n v="27"/>
    <n v="25"/>
    <n v="24"/>
    <m/>
    <m/>
    <m/>
    <n v="4"/>
    <n v="3"/>
    <m/>
    <n v="43.636574078118429"/>
    <n v="2"/>
    <m/>
    <s v="Saturday"/>
    <s v="Thursday"/>
    <n v="3"/>
    <m/>
    <n v="0.78409990816454578"/>
    <m/>
    <n v="-44.883333337493241"/>
    <n v="0.11904761904761904"/>
    <m/>
    <m/>
    <n v="0.17805092057839134"/>
    <m/>
    <d v="1899-12-30T00:44:53"/>
    <m/>
    <m/>
    <m/>
    <n v="6"/>
    <n v="6900"/>
    <m/>
    <m/>
    <s v="subtotal"/>
    <n v="0.78369900049790797"/>
    <n v="1"/>
    <m/>
    <m/>
    <m/>
    <n v="42"/>
    <m/>
    <m/>
    <n v="44.883333337493241"/>
    <n v="52.460317459772341"/>
    <s v="Saturday"/>
    <m/>
    <n v="2"/>
    <n v="2630.3333333333335"/>
    <m/>
    <x v="0"/>
  </r>
  <r>
    <n v="3"/>
    <d v="2015-01-25T01:50:51"/>
    <d v="1899-12-30T01:50:51"/>
    <d v="2015-01-25T02:28:53"/>
    <d v="1899-12-30T02:28:53"/>
    <s v="f0ade77b43923b38237db569b016ba25"/>
    <s v="NA"/>
    <n v="4"/>
    <n v="4"/>
    <n v="4986"/>
    <n v="4"/>
    <n v="699"/>
    <n v="2362"/>
    <n v="16"/>
    <n v="6"/>
    <n v="9"/>
    <m/>
    <m/>
    <m/>
    <m/>
    <m/>
    <m/>
    <n v="36.976851847430225"/>
    <n v="1"/>
    <m/>
    <s v="Sunday"/>
    <s v="Friday"/>
    <n v="5"/>
    <m/>
    <n v="0.7815829881077393"/>
    <m/>
    <n v="-38.033333328785375"/>
    <n v="0.12195121951219512"/>
    <m/>
    <m/>
    <n v="0.18776005471996854"/>
    <m/>
    <d v="1899-12-30T00:38:02"/>
    <m/>
    <m/>
    <m/>
    <n v="3"/>
    <n v="3900"/>
    <m/>
    <m/>
    <m/>
    <m/>
    <m/>
    <m/>
    <m/>
    <m/>
    <n v="41"/>
    <m/>
    <m/>
    <n v="38.033333328785375"/>
    <n v="52.645121950559634"/>
    <s v="Sunday"/>
    <m/>
    <m/>
    <m/>
    <m/>
    <x v="2"/>
  </r>
  <r>
    <n v="1"/>
    <d v="2015-01-26T02:09:48"/>
    <d v="1899-12-30T02:09:48"/>
    <d v="2015-01-26T02:47:22"/>
    <d v="1899-12-30T02:47:22"/>
    <s v="e8542a04d734d0cae36d648b3f519e5c"/>
    <s v="italian"/>
    <n v="1"/>
    <n v="3"/>
    <n v="3800"/>
    <n v="3"/>
    <n v="800"/>
    <n v="1800"/>
    <n v="21"/>
    <n v="18"/>
    <n v="20"/>
    <m/>
    <m/>
    <m/>
    <m/>
    <m/>
    <m/>
    <n v="36.523148149717599"/>
    <n v="2"/>
    <m/>
    <s v="Monday"/>
    <s v="Saturday"/>
    <n v="8"/>
    <m/>
    <n v="0.78005106263545254"/>
    <m/>
    <n v="-37.566666668280959"/>
    <n v="0.125"/>
    <m/>
    <m/>
    <n v="0.1956533588698697"/>
    <m/>
    <d v="1899-12-30T00:37:34"/>
    <m/>
    <m/>
    <m/>
    <n v="3"/>
    <n v="5000"/>
    <m/>
    <m/>
    <m/>
    <m/>
    <m/>
    <m/>
    <m/>
    <m/>
    <n v="40"/>
    <m/>
    <m/>
    <n v="37.566666668280959"/>
    <n v="53.010416666103993"/>
    <s v="Monday"/>
    <m/>
    <m/>
    <m/>
    <m/>
    <x v="3"/>
  </r>
  <r>
    <n v="1"/>
    <d v="2015-01-27T02:12:36"/>
    <d v="1899-12-30T02:12:36"/>
    <d v="2015-01-27T03:02:24"/>
    <d v="1899-12-30T03:02:24"/>
    <s v="ef1e491a766ce3127556063d49bc2f98"/>
    <s v="italian"/>
    <n v="1"/>
    <n v="2"/>
    <n v="3620"/>
    <n v="2"/>
    <n v="1425"/>
    <n v="2195"/>
    <n v="5"/>
    <n v="5"/>
    <n v="7"/>
    <m/>
    <m/>
    <m/>
    <m/>
    <m/>
    <m/>
    <n v="48.416666657431051"/>
    <n v="2"/>
    <m/>
    <s v="Tuesday"/>
    <s v="Sunday"/>
    <n v="4"/>
    <m/>
    <n v="0.78008846561065537"/>
    <m/>
    <n v="-49.79999999050051"/>
    <n v="0.12820512820512819"/>
    <m/>
    <m/>
    <n v="0.19564127750799026"/>
    <m/>
    <d v="1899-12-30T00:49:48"/>
    <m/>
    <m/>
    <m/>
    <n v="2"/>
    <n v="3900"/>
    <m/>
    <m/>
    <m/>
    <m/>
    <m/>
    <m/>
    <m/>
    <m/>
    <n v="39"/>
    <m/>
    <m/>
    <n v="49.79999999050051"/>
    <n v="53.406410255791762"/>
    <s v="Tuesday"/>
    <m/>
    <m/>
    <m/>
    <m/>
    <x v="4"/>
  </r>
  <r>
    <n v="1"/>
    <d v="2015-01-27T18:32:58"/>
    <d v="1899-12-30T18:32:58"/>
    <d v="2015-01-27T19:02:09"/>
    <d v="1899-12-30T19:02:09"/>
    <s v="197e342c9fbad962dbe6d3322f723ca6"/>
    <s v="cafe"/>
    <n v="4"/>
    <n v="2"/>
    <n v="595"/>
    <n v="2"/>
    <n v="200"/>
    <n v="295"/>
    <n v="5"/>
    <n v="1"/>
    <n v="1"/>
    <m/>
    <m/>
    <m/>
    <m/>
    <m/>
    <m/>
    <n v="28.372685186332092"/>
    <n v="18"/>
    <m/>
    <s v="Tuesday"/>
    <m/>
    <m/>
    <m/>
    <n v="0.78370518139199408"/>
    <m/>
    <n v="-29.183333334513009"/>
    <n v="0.13157894736842105"/>
    <m/>
    <m/>
    <n v="0.18931352496839984"/>
    <m/>
    <d v="1899-12-30T00:29:11"/>
    <m/>
    <m/>
    <m/>
    <n v="4"/>
    <n v="4850"/>
    <m/>
    <m/>
    <m/>
    <m/>
    <m/>
    <m/>
    <m/>
    <m/>
    <n v="38"/>
    <m/>
    <m/>
    <n v="29.183333334513009"/>
    <n v="53.501315789088899"/>
    <s v="Tuesday"/>
    <m/>
    <m/>
    <m/>
    <m/>
    <x v="5"/>
  </r>
  <r>
    <n v="1"/>
    <d v="2015-01-27T20:26:19"/>
    <d v="1899-12-30T20:26:19"/>
    <d v="2015-01-27T21:03:53"/>
    <d v="1899-12-30T21:03:53"/>
    <s v="50905d7b2216bfeccb5b41016357176b"/>
    <s v="NA"/>
    <n v="2"/>
    <n v="2"/>
    <n v="1725"/>
    <n v="2"/>
    <n v="825"/>
    <n v="900"/>
    <n v="21"/>
    <n v="18"/>
    <n v="18"/>
    <m/>
    <m/>
    <m/>
    <m/>
    <m/>
    <m/>
    <n v="36.523148139531258"/>
    <n v="20"/>
    <m/>
    <s v="Tuesday"/>
    <m/>
    <m/>
    <m/>
    <n v="0.78245639965130687"/>
    <m/>
    <n v="-37.56666665780358"/>
    <n v="0.10810810810810811"/>
    <m/>
    <m/>
    <n v="0.18059878781110819"/>
    <m/>
    <d v="1899-12-30T00:37:34"/>
    <m/>
    <m/>
    <m/>
    <n v="4"/>
    <n v="4771"/>
    <m/>
    <m/>
    <m/>
    <m/>
    <m/>
    <m/>
    <m/>
    <m/>
    <n v="37"/>
    <m/>
    <m/>
    <n v="37.56666665780358"/>
    <n v="54.158558558131496"/>
    <s v="Tuesday"/>
    <m/>
    <m/>
    <m/>
    <m/>
    <x v="6"/>
  </r>
  <r>
    <n v="3"/>
    <d v="2015-01-28T20:30:38"/>
    <d v="1899-12-30T20:30:38"/>
    <d v="2015-01-28T21:08:58"/>
    <d v="1899-12-30T21:08:58"/>
    <s v="f0ade77b43923b38237db569b016ba25"/>
    <s v="NA"/>
    <n v="1"/>
    <n v="3"/>
    <n v="5000"/>
    <n v="3"/>
    <n v="1500"/>
    <n v="1900"/>
    <n v="2"/>
    <n v="2"/>
    <n v="2"/>
    <m/>
    <m/>
    <m/>
    <m/>
    <m/>
    <m/>
    <n v="37.268518521159422"/>
    <n v="20"/>
    <m/>
    <s v="Wednesday"/>
    <m/>
    <m/>
    <m/>
    <n v="0.77954349290164582"/>
    <m/>
    <n v="-38.333333336049691"/>
    <n v="0.1111111111111111"/>
    <m/>
    <m/>
    <n v="0.1803465178076761"/>
    <m/>
    <d v="1899-12-30T00:38:20"/>
    <m/>
    <m/>
    <m/>
    <n v="2"/>
    <n v="2100"/>
    <m/>
    <m/>
    <m/>
    <m/>
    <m/>
    <m/>
    <m/>
    <m/>
    <n v="36"/>
    <m/>
    <m/>
    <n v="38.333333336049691"/>
    <n v="54.619444444251712"/>
    <s v="Wednesday"/>
    <m/>
    <m/>
    <m/>
    <m/>
    <x v="7"/>
  </r>
  <r>
    <n v="1"/>
    <d v="2015-01-28T20:33:04"/>
    <d v="1899-12-30T20:33:04"/>
    <d v="2015-01-28T21:04:14"/>
    <d v="1899-12-30T21:04:14"/>
    <s v="50905d7b2216bfeccb5b41016357176b"/>
    <s v="NA"/>
    <m/>
    <n v="3"/>
    <n v="1765"/>
    <n v="3"/>
    <n v="275"/>
    <n v="895"/>
    <n v="22"/>
    <n v="21"/>
    <n v="24"/>
    <m/>
    <m/>
    <m/>
    <m/>
    <m/>
    <m/>
    <n v="30.30092592962319"/>
    <n v="20"/>
    <m/>
    <s v="Wednesday"/>
    <m/>
    <m/>
    <m/>
    <n v="0.78265148251323102"/>
    <m/>
    <n v="-31.166666670469567"/>
    <n v="0.11428571428571428"/>
    <m/>
    <m/>
    <n v="0.18014173743839973"/>
    <m/>
    <d v="1899-12-30T00:31:10"/>
    <m/>
    <m/>
    <m/>
    <n v="4"/>
    <n v="4300"/>
    <m/>
    <m/>
    <m/>
    <m/>
    <m/>
    <m/>
    <m/>
    <m/>
    <n v="35"/>
    <m/>
    <m/>
    <n v="31.166666670469567"/>
    <n v="55.084761904486058"/>
    <s v="Wednesday"/>
    <m/>
    <m/>
    <m/>
    <m/>
    <x v="8"/>
  </r>
  <r>
    <n v="1"/>
    <d v="2015-01-28T21:37:38"/>
    <d v="1899-12-30T21:37:38"/>
    <d v="2015-01-28T22:11:53"/>
    <d v="1899-12-30T22:11:53"/>
    <s v="50905d7b2216bfeccb5b41016357176b"/>
    <s v="NA"/>
    <n v="2"/>
    <n v="3"/>
    <n v="1425"/>
    <n v="3"/>
    <n v="175"/>
    <n v="900"/>
    <n v="13"/>
    <n v="12"/>
    <n v="7"/>
    <m/>
    <m/>
    <m/>
    <m/>
    <m/>
    <m/>
    <n v="33.298611112695653"/>
    <n v="21"/>
    <m/>
    <s v="Wednesday"/>
    <m/>
    <m/>
    <m/>
    <n v="0.78799664030151595"/>
    <m/>
    <n v="-34.250000001629815"/>
    <n v="0.11764705882352941"/>
    <m/>
    <m/>
    <n v="0.18016456834523803"/>
    <m/>
    <d v="1899-12-30T00:34:15"/>
    <m/>
    <m/>
    <m/>
    <n v="2"/>
    <n v="2200"/>
    <m/>
    <m/>
    <m/>
    <m/>
    <m/>
    <m/>
    <m/>
    <m/>
    <n v="34"/>
    <m/>
    <m/>
    <n v="34.250000001629815"/>
    <n v="55.788235293721833"/>
    <s v="Wednesday"/>
    <m/>
    <m/>
    <m/>
    <m/>
    <x v="9"/>
  </r>
  <r>
    <n v="1"/>
    <d v="2015-01-30T01:43:09"/>
    <d v="1899-12-30T01:43:09"/>
    <d v="2015-01-30T02:20:42"/>
    <d v="1899-12-30T02:20:42"/>
    <s v="e8542a04d734d0cae36d648b3f519e5c"/>
    <s v="italian"/>
    <n v="1"/>
    <n v="2"/>
    <n v="2700"/>
    <n v="2"/>
    <n v="1200"/>
    <n v="1500"/>
    <n v="16"/>
    <n v="16"/>
    <n v="13"/>
    <m/>
    <m/>
    <m/>
    <m/>
    <m/>
    <m/>
    <n v="36.506944442226086"/>
    <n v="1"/>
    <m/>
    <s v="Friday"/>
    <m/>
    <m/>
    <m/>
    <n v="0.79621987774792735"/>
    <m/>
    <n v="-37.54999999771826"/>
    <n v="0.12121212121212122"/>
    <m/>
    <m/>
    <n v="0.17981421310828766"/>
    <m/>
    <d v="1899-12-30T00:37:33"/>
    <m/>
    <m/>
    <m/>
    <n v="1"/>
    <n v="1900"/>
    <m/>
    <m/>
    <m/>
    <m/>
    <m/>
    <m/>
    <m/>
    <m/>
    <n v="33"/>
    <m/>
    <m/>
    <n v="37.54999999771826"/>
    <n v="56.440909090451896"/>
    <s v="Friday"/>
    <m/>
    <m/>
    <m/>
    <m/>
    <x v="10"/>
  </r>
  <r>
    <n v="3"/>
    <d v="2015-01-30T19:49:30"/>
    <d v="1899-12-30T19:49:30"/>
    <d v="2015-01-30T20:28:45"/>
    <d v="1899-12-30T20:28:45"/>
    <s v="50905d7b2216bfeccb5b41016357176b"/>
    <s v="sandwich"/>
    <n v="2"/>
    <n v="4"/>
    <n v="3490"/>
    <n v="3"/>
    <n v="175"/>
    <n v="850"/>
    <n v="16"/>
    <n v="16"/>
    <n v="21"/>
    <m/>
    <m/>
    <m/>
    <m/>
    <m/>
    <m/>
    <n v="38.159722219279502"/>
    <n v="19"/>
    <m/>
    <s v="Friday"/>
    <m/>
    <m/>
    <m/>
    <n v="0.79474343869604192"/>
    <m/>
    <n v="-39.249999996973202"/>
    <n v="0.125"/>
    <m/>
    <m/>
    <n v="0.17785978790028517"/>
    <m/>
    <d v="1899-12-30T00:39:15"/>
    <m/>
    <m/>
    <m/>
    <n v="4"/>
    <n v="4986"/>
    <m/>
    <m/>
    <m/>
    <m/>
    <m/>
    <m/>
    <m/>
    <m/>
    <n v="32"/>
    <m/>
    <m/>
    <n v="39.249999996973202"/>
    <n v="57.031249999599822"/>
    <s v="Friday"/>
    <m/>
    <m/>
    <m/>
    <m/>
    <x v="11"/>
  </r>
  <r>
    <n v="3"/>
    <d v="2015-01-31T02:16:36"/>
    <d v="1899-12-30T02:16:36"/>
    <d v="2015-01-31T02:43:00"/>
    <d v="1899-12-30T02:43:00"/>
    <s v="f0ade77b43923b38237db569b016ba25"/>
    <s v="NA"/>
    <n v="1"/>
    <n v="2"/>
    <n v="3900"/>
    <n v="2"/>
    <n v="1200"/>
    <n v="2700"/>
    <n v="10"/>
    <n v="9"/>
    <n v="9"/>
    <m/>
    <m/>
    <m/>
    <m/>
    <m/>
    <m/>
    <n v="25.666666666802485"/>
    <n v="2"/>
    <m/>
    <s v="Saturday"/>
    <m/>
    <m/>
    <m/>
    <n v="0.80080141691213258"/>
    <m/>
    <n v="-26.400000000139698"/>
    <n v="0.12903225806451613"/>
    <m/>
    <s v=" "/>
    <n v="0.1810740454933609"/>
    <m/>
    <d v="1899-12-30T00:26:24"/>
    <m/>
    <m/>
    <m/>
    <n v="1"/>
    <n v="1525"/>
    <m/>
    <m/>
    <m/>
    <m/>
    <m/>
    <m/>
    <m/>
    <m/>
    <n v="31"/>
    <m/>
    <m/>
    <n v="26.400000000139698"/>
    <n v="57.604838709361971"/>
    <s v="Saturday"/>
    <m/>
    <m/>
    <m/>
    <m/>
    <x v="12"/>
  </r>
  <r>
    <n v="1"/>
    <d v="2015-01-31T02:21:23"/>
    <d v="1899-12-30T02:21:23"/>
    <d v="2015-01-31T03:11:42"/>
    <d v="1899-12-30T03:11:42"/>
    <s v="ce016f59ecc2366a43e1c96a4774d167"/>
    <s v="mexican"/>
    <n v="1"/>
    <n v="2"/>
    <n v="950"/>
    <n v="2"/>
    <n v="150"/>
    <n v="700"/>
    <n v="24"/>
    <n v="24"/>
    <n v="26"/>
    <m/>
    <m/>
    <m/>
    <m/>
    <m/>
    <m/>
    <n v="48.918981477618217"/>
    <n v="2"/>
    <m/>
    <s v="Saturday"/>
    <m/>
    <m/>
    <m/>
    <n v="0.80552184386239545"/>
    <m/>
    <n v="-50.316666662693024"/>
    <n v="0.1"/>
    <m/>
    <m/>
    <n v="0.17477043619251034"/>
    <m/>
    <d v="1899-12-30T00:50:19"/>
    <m/>
    <m/>
    <m/>
    <n v="2"/>
    <n v="3620"/>
    <m/>
    <m/>
    <m/>
    <m/>
    <m/>
    <m/>
    <m/>
    <m/>
    <n v="30"/>
    <m/>
    <m/>
    <n v="50.316666662693024"/>
    <n v="58.64499999966938"/>
    <s v="Saturday"/>
    <m/>
    <m/>
    <m/>
    <m/>
    <x v="13"/>
  </r>
  <r>
    <n v="1"/>
    <d v="2015-01-31T04:35:54"/>
    <d v="1899-12-30T04:35:54"/>
    <d v="2015-01-31T05:47:30"/>
    <d v="1899-12-30T05:47:30"/>
    <s v="ef1e491a766ce3127556063d49bc2f98"/>
    <s v="italian"/>
    <n v="1"/>
    <n v="2"/>
    <n v="3150"/>
    <n v="2"/>
    <n v="1425"/>
    <n v="1725"/>
    <n v="4"/>
    <n v="9"/>
    <n v="12"/>
    <m/>
    <m/>
    <m/>
    <m/>
    <m/>
    <m/>
    <n v="69.611111115955282"/>
    <n v="4"/>
    <m/>
    <s v="Saturday"/>
    <m/>
    <m/>
    <m/>
    <n v="0.80353427922654441"/>
    <m/>
    <n v="-71.600000004982576"/>
    <n v="0.10344827586206896"/>
    <m/>
    <m/>
    <n v="0.17749398764339516"/>
    <m/>
    <d v="1899-12-30T01:11:36"/>
    <m/>
    <m/>
    <m/>
    <n v="3"/>
    <n v="4475"/>
    <m/>
    <m/>
    <m/>
    <m/>
    <m/>
    <m/>
    <m/>
    <m/>
    <n v="29"/>
    <m/>
    <m/>
    <n v="71.600000004982576"/>
    <n v="58.932183907840979"/>
    <s v="Saturday"/>
    <m/>
    <m/>
    <m/>
    <m/>
    <x v="10"/>
  </r>
  <r>
    <n v="1"/>
    <d v="2015-01-31T23:45:12"/>
    <d v="1899-12-30T23:45:12"/>
    <d v="2015-02-01T00:14:05"/>
    <d v="1899-12-30T00:14:05"/>
    <s v="ce016f59ecc2366a43e1c96a4774d167"/>
    <s v="mexican"/>
    <n v="1"/>
    <n v="5"/>
    <n v="1285"/>
    <n v="3"/>
    <n v="150"/>
    <n v="400"/>
    <n v="12"/>
    <n v="13"/>
    <n v="11"/>
    <m/>
    <m/>
    <m/>
    <m/>
    <m/>
    <m/>
    <n v="28.081018522789236"/>
    <n v="23"/>
    <m/>
    <s v="Saturday"/>
    <m/>
    <m/>
    <m/>
    <n v="0.80347901236230845"/>
    <m/>
    <n v="-28.883333337726071"/>
    <n v="0.10714285714285714"/>
    <m/>
    <m/>
    <n v="0.1704428663489129"/>
    <m/>
    <n v="-0.97994212962657912"/>
    <m/>
    <m/>
    <m/>
    <n v="3"/>
    <n v="4375"/>
    <m/>
    <m/>
    <m/>
    <m/>
    <m/>
    <m/>
    <m/>
    <m/>
    <n v="28"/>
    <m/>
    <m/>
    <n v="28.883333337726071"/>
    <n v="58.479761904371635"/>
    <s v="Saturday"/>
    <m/>
    <m/>
    <m/>
    <m/>
    <x v="14"/>
  </r>
  <r>
    <n v="1"/>
    <d v="2015-02-02T05:27:49"/>
    <d v="1899-12-30T05:27:49"/>
    <d v="2015-02-02T07:05:09"/>
    <d v="1899-12-30T07:05:09"/>
    <s v="e8542a04d734d0cae36d648b3f519e5c"/>
    <s v="italian"/>
    <n v="1"/>
    <n v="7"/>
    <n v="14900"/>
    <n v="5"/>
    <n v="1200"/>
    <n v="3900"/>
    <n v="8"/>
    <n v="11"/>
    <n v="11"/>
    <m/>
    <m/>
    <m/>
    <m/>
    <m/>
    <m/>
    <n v="94.629629625706002"/>
    <n v="5"/>
    <m/>
    <s v="Monday"/>
    <m/>
    <m/>
    <m/>
    <n v="0.86940663658458783"/>
    <m/>
    <n v="-97.333333329297602"/>
    <n v="7.407407407407407E-2"/>
    <m/>
    <m/>
    <n v="0.18308573653879462"/>
    <m/>
    <d v="1899-12-30T01:37:20"/>
    <m/>
    <m/>
    <m/>
    <n v="2"/>
    <n v="3150"/>
    <m/>
    <m/>
    <m/>
    <m/>
    <m/>
    <m/>
    <m/>
    <m/>
    <n v="27"/>
    <m/>
    <m/>
    <n v="97.333333329297602"/>
    <n v="59.575925925358511"/>
    <s v="Monday"/>
    <m/>
    <m/>
    <m/>
    <m/>
    <x v="15"/>
  </r>
  <r>
    <n v="3"/>
    <d v="2015-02-02T19:22:53"/>
    <d v="1899-12-30T19:22:53"/>
    <d v="2015-02-02T20:09:19"/>
    <d v="1899-12-30T20:09:19"/>
    <s v="f0ade77b43923b38237db569b016ba25"/>
    <s v="NA"/>
    <n v="4"/>
    <n v="4"/>
    <n v="4300"/>
    <n v="4"/>
    <n v="1200"/>
    <n v="1500"/>
    <n v="1"/>
    <n v="1"/>
    <n v="1"/>
    <m/>
    <m/>
    <m/>
    <m/>
    <m/>
    <m/>
    <n v="45.143518518307246"/>
    <n v="19"/>
    <m/>
    <s v="Monday"/>
    <m/>
    <m/>
    <m/>
    <n v="0.92572100006075198"/>
    <m/>
    <n v="-46.433333333116025"/>
    <n v="7.6923076923076927E-2"/>
    <m/>
    <m/>
    <n v="0.22917940163697065"/>
    <m/>
    <d v="1899-12-30T00:46:26"/>
    <m/>
    <m/>
    <m/>
    <n v="2"/>
    <n v="950"/>
    <m/>
    <m/>
    <m/>
    <m/>
    <m/>
    <m/>
    <m/>
    <m/>
    <n v="26"/>
    <m/>
    <m/>
    <n v="46.433333333116025"/>
    <n v="58.123717948283925"/>
    <s v="Monday"/>
    <m/>
    <m/>
    <m/>
    <m/>
    <x v="10"/>
  </r>
  <r>
    <n v="3"/>
    <d v="2015-02-03T21:21:45"/>
    <d v="1899-12-30T21:21:45"/>
    <d v="2015-02-03T22:13:00"/>
    <d v="1899-12-30T22:13:00"/>
    <s v="f0ade77b43923b38237db569b016ba25"/>
    <s v="NA"/>
    <n v="1"/>
    <n v="6"/>
    <n v="6900"/>
    <n v="5"/>
    <n v="600"/>
    <n v="1800"/>
    <n v="1"/>
    <n v="1"/>
    <n v="2"/>
    <m/>
    <m/>
    <m/>
    <m/>
    <m/>
    <m/>
    <n v="49.826388883229811"/>
    <n v="21"/>
    <m/>
    <s v="Tuesday"/>
    <m/>
    <m/>
    <m/>
    <n v="0.92713331362552243"/>
    <m/>
    <n v="-51.249999994179234"/>
    <n v="0.08"/>
    <m/>
    <m/>
    <n v="0.24626902457455774"/>
    <m/>
    <d v="1899-12-30T00:51:15"/>
    <m/>
    <m/>
    <m/>
    <n v="5"/>
    <n v="1285"/>
    <m/>
    <m/>
    <m/>
    <m/>
    <m/>
    <m/>
    <m/>
    <m/>
    <n v="25"/>
    <m/>
    <m/>
    <n v="51.249999994179234"/>
    <n v="58.591333332890642"/>
    <s v="Tuesday"/>
    <m/>
    <m/>
    <m/>
    <m/>
    <x v="16"/>
  </r>
  <r>
    <n v="1"/>
    <d v="2015-02-06T00:42:42"/>
    <d v="1899-12-30T00:42:42"/>
    <d v="2015-02-06T02:10:29"/>
    <d v="1899-12-30T02:10:29"/>
    <s v="ef1e491a766ce3127556063d49bc2f98"/>
    <s v="italian"/>
    <n v="1"/>
    <n v="3"/>
    <n v="4475"/>
    <n v="3"/>
    <n v="925"/>
    <n v="1825"/>
    <n v="4"/>
    <n v="1"/>
    <n v="1"/>
    <m/>
    <m/>
    <m/>
    <m/>
    <m/>
    <m/>
    <n v="85.344907412945759"/>
    <n v="0"/>
    <m/>
    <s v="Friday"/>
    <m/>
    <m/>
    <m/>
    <n v="0.91848844032587351"/>
    <m/>
    <n v="-87.783333339029923"/>
    <n v="8.3333333333333329E-2"/>
    <m/>
    <m/>
    <n v="0.31385094388076684"/>
    <m/>
    <d v="1899-12-30T01:27:47"/>
    <m/>
    <m/>
    <m/>
    <n v="4"/>
    <n v="5800"/>
    <m/>
    <m/>
    <m/>
    <m/>
    <m/>
    <m/>
    <m/>
    <m/>
    <n v="24"/>
    <m/>
    <m/>
    <n v="87.783333339029923"/>
    <n v="58.89722222200362"/>
    <s v="Friday"/>
    <m/>
    <m/>
    <m/>
    <m/>
    <x v="17"/>
  </r>
  <r>
    <n v="1"/>
    <d v="2015-02-06T22:24:17"/>
    <d v="1899-12-30T22:24:17"/>
    <d v="2015-02-06T23:27:16"/>
    <d v="1899-12-30T23:27:16"/>
    <s v="df263d996281d984952c07998dc54358"/>
    <s v="american"/>
    <n v="1"/>
    <n v="4"/>
    <n v="3441"/>
    <n v="4"/>
    <n v="557"/>
    <n v="1239"/>
    <n v="33"/>
    <n v="14"/>
    <n v="21"/>
    <m/>
    <m/>
    <m/>
    <m/>
    <m/>
    <m/>
    <n v="61.23379628843395"/>
    <n v="22"/>
    <m/>
    <s v="Friday"/>
    <m/>
    <m/>
    <m/>
    <n v="0.92076647400188738"/>
    <m/>
    <n v="-62.983333325246349"/>
    <n v="8.6956521739130432E-2"/>
    <m/>
    <m/>
    <n v="0.31892960488206373"/>
    <m/>
    <d v="1899-12-30T01:02:59"/>
    <m/>
    <m/>
    <m/>
    <n v="2"/>
    <n v="2800"/>
    <m/>
    <m/>
    <m/>
    <m/>
    <m/>
    <m/>
    <m/>
    <m/>
    <n v="23"/>
    <m/>
    <m/>
    <n v="62.983333325246349"/>
    <n v="57.6413043473503"/>
    <s v="Friday"/>
    <m/>
    <m/>
    <m/>
    <m/>
    <x v="18"/>
  </r>
  <r>
    <n v="3"/>
    <d v="2015-02-07T01:34:31"/>
    <d v="1899-12-30T01:34:31"/>
    <d v="2015-02-07T02:17:14"/>
    <d v="1899-12-30T02:17:14"/>
    <s v="f0ade77b43923b38237db569b016ba25"/>
    <s v="NA"/>
    <n v="1"/>
    <n v="1"/>
    <n v="1900"/>
    <n v="1"/>
    <n v="1900"/>
    <n v="1900"/>
    <n v="6"/>
    <n v="3"/>
    <n v="3"/>
    <m/>
    <m/>
    <m/>
    <m/>
    <m/>
    <m/>
    <n v="41.530092593166046"/>
    <n v="1"/>
    <m/>
    <s v="Saturday"/>
    <m/>
    <m/>
    <m/>
    <n v="0.93342824870615371"/>
    <m/>
    <n v="-42.716666667256504"/>
    <n v="9.0909090909090912E-2"/>
    <m/>
    <m/>
    <n v="0.33267408295617801"/>
    <m/>
    <d v="1899-12-30T00:42:43"/>
    <m/>
    <m/>
    <m/>
    <n v="7"/>
    <n v="14900"/>
    <m/>
    <m/>
    <m/>
    <m/>
    <m/>
    <m/>
    <m/>
    <m/>
    <n v="22"/>
    <m/>
    <m/>
    <n v="42.716666667256504"/>
    <n v="57.398484848355025"/>
    <s v="Saturday"/>
    <m/>
    <m/>
    <m/>
    <m/>
    <x v="0"/>
  </r>
  <r>
    <n v="4"/>
    <d v="2015-02-07T01:36:34"/>
    <d v="1899-12-30T01:36:34"/>
    <d v="2015-02-07T02:46:27"/>
    <d v="1899-12-30T02:46:27"/>
    <s v="ea119a40c1592979f51819b0bd38d39d"/>
    <s v="italian"/>
    <n v="1"/>
    <n v="4"/>
    <n v="5500"/>
    <n v="4"/>
    <n v="700"/>
    <n v="1900"/>
    <n v="117"/>
    <n v="112"/>
    <n v="178"/>
    <m/>
    <m/>
    <m/>
    <m/>
    <m/>
    <m/>
    <n v="67.942129631410353"/>
    <n v="1"/>
    <m/>
    <s v="Saturday"/>
    <m/>
    <m/>
    <m/>
    <n v="0.93112623738496803"/>
    <m/>
    <n v="-69.883333335164934"/>
    <n v="9.5238095238095233E-2"/>
    <m/>
    <m/>
    <n v="0.31286406828940305"/>
    <m/>
    <d v="1899-12-30T01:09:53"/>
    <m/>
    <m/>
    <m/>
    <n v="3"/>
    <n v="3400"/>
    <m/>
    <m/>
    <m/>
    <m/>
    <m/>
    <m/>
    <m/>
    <m/>
    <n v="21"/>
    <m/>
    <m/>
    <n v="69.883333335164934"/>
    <n v="58.097619047454955"/>
    <s v="Saturday"/>
    <m/>
    <m/>
    <m/>
    <m/>
    <x v="16"/>
  </r>
  <r>
    <n v="1"/>
    <d v="2015-02-07T01:44:26"/>
    <d v="1899-12-30T01:44:26"/>
    <d v="2015-02-07T02:48:06"/>
    <d v="1899-12-30T02:48:06"/>
    <s v="e8542a04d734d0cae36d648b3f519e5c"/>
    <s v="italian"/>
    <n v="1"/>
    <n v="1"/>
    <n v="1800"/>
    <n v="1"/>
    <n v="1800"/>
    <n v="1800"/>
    <n v="22"/>
    <n v="21"/>
    <n v="20"/>
    <m/>
    <m/>
    <m/>
    <m/>
    <m/>
    <m/>
    <n v="61.898148152977228"/>
    <n v="1"/>
    <m/>
    <s v="Saturday"/>
    <m/>
    <m/>
    <m/>
    <n v="0.93063356947249598"/>
    <m/>
    <n v="-63.66666667163372"/>
    <n v="0.1"/>
    <m/>
    <m/>
    <n v="0.28155500894736907"/>
    <m/>
    <d v="1899-12-30T01:03:40"/>
    <m/>
    <m/>
    <m/>
    <n v="3"/>
    <n v="3800"/>
    <m/>
    <m/>
    <m/>
    <m/>
    <m/>
    <m/>
    <m/>
    <m/>
    <n v="20"/>
    <m/>
    <m/>
    <n v="63.66666667163372"/>
    <n v="57.508333333069459"/>
    <s v="Saturday"/>
    <m/>
    <m/>
    <m/>
    <m/>
    <x v="0"/>
  </r>
  <r>
    <n v="1"/>
    <d v="2015-02-08T02:04:17"/>
    <d v="1899-12-30T02:04:17"/>
    <d v="2015-02-08T03:27:13"/>
    <d v="1899-12-30T03:27:13"/>
    <s v="ef1e491a766ce3127556063d49bc2f98"/>
    <s v="italian"/>
    <n v="1"/>
    <n v="3"/>
    <n v="4375"/>
    <n v="3"/>
    <n v="1325"/>
    <n v="1625"/>
    <n v="6"/>
    <n v="4"/>
    <n v="3"/>
    <m/>
    <m/>
    <m/>
    <m/>
    <m/>
    <m/>
    <n v="80.629629633040167"/>
    <n v="2"/>
    <m/>
    <s v="Sunday"/>
    <m/>
    <m/>
    <m/>
    <n v="0.92746433369556236"/>
    <m/>
    <n v="-82.933333336841315"/>
    <n v="0.10526315789473684"/>
    <m/>
    <m/>
    <n v="0.28649836840608256"/>
    <m/>
    <d v="1899-12-30T01:22:56"/>
    <m/>
    <m/>
    <m/>
    <n v="1"/>
    <n v="1800"/>
    <m/>
    <m/>
    <m/>
    <m/>
    <m/>
    <m/>
    <m/>
    <m/>
    <n v="19"/>
    <m/>
    <m/>
    <n v="82.933333336841315"/>
    <n v="57.184210525776599"/>
    <s v="Sunday"/>
    <m/>
    <m/>
    <m/>
    <m/>
    <x v="10"/>
  </r>
  <r>
    <n v="4"/>
    <d v="2015-02-08T02:50:54"/>
    <d v="1899-12-30T02:50:54"/>
    <d v="2015-02-08T04:03:49"/>
    <d v="1899-12-30T04:03:49"/>
    <s v="ea119a40c1592979f51819b0bd38d39d"/>
    <s v="italian"/>
    <n v="1"/>
    <n v="4"/>
    <n v="7104"/>
    <n v="3"/>
    <n v="751"/>
    <n v="2191"/>
    <n v="121"/>
    <n v="119"/>
    <n v="205"/>
    <m/>
    <m/>
    <m/>
    <m/>
    <m/>
    <m/>
    <n v="70.891203702194616"/>
    <n v="2"/>
    <m/>
    <s v="Sunday"/>
    <m/>
    <m/>
    <m/>
    <n v="0.92954595835222342"/>
    <m/>
    <n v="-72.916666665114462"/>
    <n v="0.1111111111111111"/>
    <m/>
    <m/>
    <n v="0.28988699897433168"/>
    <m/>
    <d v="1899-12-30T01:12:55"/>
    <m/>
    <m/>
    <m/>
    <n v="4"/>
    <n v="5800"/>
    <m/>
    <m/>
    <m/>
    <m/>
    <m/>
    <m/>
    <m/>
    <m/>
    <n v="18"/>
    <m/>
    <m/>
    <n v="72.916666665114462"/>
    <n v="55.753703702939674"/>
    <s v="Sunday"/>
    <m/>
    <m/>
    <m/>
    <m/>
    <x v="19"/>
  </r>
  <r>
    <n v="2"/>
    <d v="2015-02-09T20:29:30"/>
    <d v="1899-12-30T20:29:30"/>
    <d v="2015-02-09T21:17:34"/>
    <d v="1899-12-30T21:17:34"/>
    <s v="50905d7b2216bfeccb5b41016357176b"/>
    <s v="thai"/>
    <n v="5"/>
    <n v="1"/>
    <n v="1220"/>
    <n v="1"/>
    <n v="825"/>
    <n v="825"/>
    <n v="21"/>
    <n v="21"/>
    <n v="20"/>
    <m/>
    <m/>
    <m/>
    <m/>
    <m/>
    <m/>
    <n v="46.73148148576729"/>
    <n v="20"/>
    <m/>
    <s v="Monday"/>
    <m/>
    <m/>
    <m/>
    <n v="0.96139465231059384"/>
    <m/>
    <n v="-48.066666671074927"/>
    <n v="0.11764705882352941"/>
    <m/>
    <m/>
    <n v="0.25989446220379858"/>
    <m/>
    <d v="1899-12-30T00:48:04"/>
    <m/>
    <m/>
    <m/>
    <n v="3"/>
    <n v="3800"/>
    <m/>
    <m/>
    <m/>
    <m/>
    <m/>
    <m/>
    <m/>
    <m/>
    <n v="17"/>
    <m/>
    <m/>
    <n v="48.066666671074927"/>
    <n v="54.744117646341159"/>
    <s v="Monday"/>
    <m/>
    <m/>
    <m/>
    <m/>
    <x v="0"/>
  </r>
  <r>
    <n v="1"/>
    <d v="2015-02-10T04:36:39"/>
    <d v="1899-12-30T04:36:39"/>
    <d v="2015-02-10T05:20:37"/>
    <d v="1899-12-30T05:20:37"/>
    <s v="e8542a04d734d0cae36d648b3f519e5c"/>
    <s v="italian"/>
    <n v="1"/>
    <n v="4"/>
    <n v="5800"/>
    <n v="4"/>
    <n v="700"/>
    <n v="2000"/>
    <n v="13"/>
    <n v="16"/>
    <n v="27"/>
    <m/>
    <m/>
    <m/>
    <m/>
    <m/>
    <m/>
    <n v="42.745370369812008"/>
    <n v="4"/>
    <m/>
    <s v="Tuesday"/>
    <m/>
    <m/>
    <m/>
    <n v="0.95883661032966694"/>
    <m/>
    <n v="-43.966666666092351"/>
    <n v="0.125"/>
    <m/>
    <m/>
    <n v="0.27404589257126349"/>
    <m/>
    <d v="1899-12-30T00:43:58"/>
    <m/>
    <m/>
    <m/>
    <n v="1"/>
    <n v="1800"/>
    <m/>
    <m/>
    <m/>
    <m/>
    <m/>
    <m/>
    <m/>
    <m/>
    <n v="16"/>
    <m/>
    <m/>
    <n v="43.966666666092351"/>
    <n v="55.161458332295297"/>
    <s v="Tuesday"/>
    <m/>
    <m/>
    <m/>
    <m/>
    <x v="20"/>
  </r>
  <r>
    <n v="1"/>
    <d v="2015-02-10T20:05:17"/>
    <d v="1899-12-30T20:05:17"/>
    <d v="2015-02-10T20:34:43"/>
    <d v="1899-12-30T20:34:43"/>
    <s v="50905d7b2216bfeccb5b41016357176b"/>
    <s v="NA"/>
    <n v="2"/>
    <n v="1"/>
    <n v="1220"/>
    <n v="1"/>
    <n v="825"/>
    <n v="825"/>
    <n v="21"/>
    <n v="21"/>
    <n v="20"/>
    <m/>
    <m/>
    <m/>
    <m/>
    <m/>
    <m/>
    <n v="28.615740737586748"/>
    <n v="20"/>
    <m/>
    <s v="Tuesday"/>
    <m/>
    <m/>
    <m/>
    <n v="0.96851699906665789"/>
    <m/>
    <n v="-29.433333330089226"/>
    <n v="0.13333333333333333"/>
    <m/>
    <s v=" "/>
    <n v="0.2805671193592158"/>
    <m/>
    <d v="1899-12-30T00:29:26"/>
    <m/>
    <m/>
    <m/>
    <n v="2"/>
    <n v="2700"/>
    <m/>
    <m/>
    <m/>
    <m/>
    <m/>
    <m/>
    <m/>
    <m/>
    <n v="15"/>
    <m/>
    <m/>
    <n v="29.433333330089226"/>
    <n v="55.907777776708826"/>
    <s v="Tuesday"/>
    <m/>
    <m/>
    <m/>
    <m/>
    <x v="0"/>
  </r>
  <r>
    <n v="2"/>
    <d v="2015-02-10T21:49:25"/>
    <d v="1899-12-30T21:49:25"/>
    <d v="2015-02-10T22:56:29"/>
    <d v="1899-12-30T22:56:29"/>
    <s v="f0ade77b43923b38237db569b016ba25"/>
    <s v="mexican"/>
    <n v="2"/>
    <n v="1"/>
    <n v="1900"/>
    <n v="1"/>
    <n v="1400"/>
    <n v="1400"/>
    <n v="1"/>
    <n v="2"/>
    <n v="2"/>
    <m/>
    <m/>
    <m/>
    <m/>
    <m/>
    <m/>
    <n v="65.20370370708406"/>
    <n v="21"/>
    <m/>
    <s v="Tuesday"/>
    <m/>
    <m/>
    <m/>
    <n v="0.96638950564991899"/>
    <m/>
    <n v="-67.066666670143604"/>
    <n v="7.1428571428571425E-2"/>
    <m/>
    <m/>
    <n v="0.29749267871098506"/>
    <m/>
    <d v="1899-12-30T01:07:04"/>
    <m/>
    <m/>
    <m/>
    <n v="4"/>
    <n v="3490"/>
    <m/>
    <m/>
    <m/>
    <m/>
    <m/>
    <m/>
    <m/>
    <m/>
    <n v="14"/>
    <m/>
    <m/>
    <n v="67.066666670143604"/>
    <n v="57.798809522895944"/>
    <s v="Tuesday"/>
    <m/>
    <m/>
    <m/>
    <m/>
    <x v="0"/>
  </r>
  <r>
    <n v="3"/>
    <d v="2015-02-12T03:03:35"/>
    <d v="1899-12-30T03:03:35"/>
    <d v="2015-02-12T03:36:20"/>
    <d v="1899-12-30T03:36:20"/>
    <s v="f0ade77b43923b38237db569b016ba25"/>
    <s v="NA"/>
    <n v="1"/>
    <n v="4"/>
    <n v="4850"/>
    <n v="4"/>
    <n v="750"/>
    <n v="1800"/>
    <n v="7"/>
    <n v="8"/>
    <n v="7"/>
    <m/>
    <m/>
    <m/>
    <m/>
    <m/>
    <m/>
    <n v="31.840277774608694"/>
    <n v="3"/>
    <m/>
    <s v="Thursday"/>
    <m/>
    <m/>
    <m/>
    <n v="0.96482098305268271"/>
    <m/>
    <n v="-32.749999996740371"/>
    <n v="7.6923076923076927E-2"/>
    <m/>
    <m/>
    <n v="0.26703376646643812"/>
    <m/>
    <d v="1899-12-30T00:32:45"/>
    <m/>
    <m/>
    <m/>
    <n v="3"/>
    <n v="1765"/>
    <m/>
    <m/>
    <m/>
    <m/>
    <m/>
    <m/>
    <m/>
    <m/>
    <n v="13"/>
    <m/>
    <m/>
    <n v="32.749999996740371"/>
    <n v="57.085897434646121"/>
    <s v="Thursday"/>
    <m/>
    <m/>
    <m/>
    <m/>
    <x v="21"/>
  </r>
  <r>
    <n v="1"/>
    <d v="2015-02-12T03:36:46"/>
    <d v="1899-12-30T03:36:46"/>
    <d v="2015-02-12T04:14:39"/>
    <d v="1899-12-30T04:14:39"/>
    <s v="ef1e491a766ce3127556063d49bc2f98"/>
    <s v="italian"/>
    <n v="1"/>
    <n v="1"/>
    <n v="1525"/>
    <n v="1"/>
    <n v="1525"/>
    <n v="1525"/>
    <n v="5"/>
    <n v="6"/>
    <n v="8"/>
    <m/>
    <m/>
    <m/>
    <m/>
    <m/>
    <m/>
    <n v="36.831018510565627"/>
    <n v="3"/>
    <m/>
    <s v="Thursday"/>
    <m/>
    <m/>
    <m/>
    <n v="0.96490554670753759"/>
    <m/>
    <n v="-37.883333325153217"/>
    <n v="8.3333333333333329E-2"/>
    <m/>
    <m/>
    <n v="0.2842970897818865"/>
    <m/>
    <d v="1899-12-30T00:37:53"/>
    <m/>
    <m/>
    <m/>
    <n v="1"/>
    <n v="975"/>
    <m/>
    <m/>
    <m/>
    <m/>
    <m/>
    <m/>
    <m/>
    <m/>
    <n v="12"/>
    <m/>
    <m/>
    <n v="37.883333325153217"/>
    <n v="59.113888887804933"/>
    <s v="Thursday"/>
    <m/>
    <m/>
    <m/>
    <m/>
    <x v="0"/>
  </r>
  <r>
    <n v="1"/>
    <d v="2015-02-12T20:27:42"/>
    <d v="1899-12-30T20:27:42"/>
    <d v="2015-02-12T21:18:29"/>
    <d v="1899-12-30T21:18:29"/>
    <s v="50905d7b2216bfeccb5b41016357176b"/>
    <s v="NA"/>
    <n v="2"/>
    <n v="1"/>
    <n v="975"/>
    <n v="1"/>
    <n v="975"/>
    <n v="975"/>
    <n v="24"/>
    <n v="25"/>
    <n v="30"/>
    <m/>
    <m/>
    <m/>
    <m/>
    <m/>
    <m/>
    <n v="49.372685185517184"/>
    <n v="20"/>
    <m/>
    <s v="Thursday"/>
    <m/>
    <m/>
    <m/>
    <n v="0.9600892541967686"/>
    <m/>
    <n v="-50.783333333674818"/>
    <n v="9.0909090909090912E-2"/>
    <m/>
    <m/>
    <n v="0.25456369650052857"/>
    <m/>
    <d v="1899-12-30T00:50:47"/>
    <m/>
    <m/>
    <m/>
    <n v="3"/>
    <n v="1425"/>
    <m/>
    <m/>
    <m/>
    <m/>
    <m/>
    <m/>
    <m/>
    <m/>
    <n v="11"/>
    <m/>
    <m/>
    <n v="50.783333333674818"/>
    <n v="61.043939393500544"/>
    <s v="Thursday"/>
    <m/>
    <m/>
    <m/>
    <m/>
    <x v="0"/>
  </r>
  <r>
    <n v="1"/>
    <d v="2015-02-13T01:01:58"/>
    <d v="1899-12-30T01:01:58"/>
    <d v="2015-02-13T01:40:09"/>
    <d v="1899-12-30T01:40:09"/>
    <s v="e8542a04d734d0cae36d648b3f519e5c"/>
    <s v="italian"/>
    <n v="1"/>
    <n v="3"/>
    <n v="3800"/>
    <n v="3"/>
    <n v="700"/>
    <n v="1600"/>
    <n v="16"/>
    <n v="9"/>
    <n v="7"/>
    <m/>
    <m/>
    <m/>
    <m/>
    <m/>
    <m/>
    <n v="37.122685194481164"/>
    <n v="1"/>
    <m/>
    <s v="Friday"/>
    <m/>
    <m/>
    <m/>
    <n v="0.95547152941146118"/>
    <m/>
    <n v="-38.183333342894912"/>
    <n v="0.1"/>
    <m/>
    <m/>
    <n v="0.28931518542691936"/>
    <m/>
    <d v="1899-12-30T00:38:11"/>
    <m/>
    <m/>
    <m/>
    <n v="1"/>
    <n v="1220"/>
    <m/>
    <m/>
    <m/>
    <m/>
    <m/>
    <m/>
    <m/>
    <m/>
    <n v="10"/>
    <m/>
    <m/>
    <n v="38.183333342894912"/>
    <n v="62.069999999483116"/>
    <s v="Friday"/>
    <m/>
    <m/>
    <m/>
    <m/>
    <x v="17"/>
  </r>
  <r>
    <n v="4"/>
    <d v="2015-02-14T03:04:07"/>
    <d v="1899-12-30T03:04:07"/>
    <d v="2015-02-14T04:25:25"/>
    <d v="1899-12-30T04:25:25"/>
    <s v="ea119a40c1592979f51819b0bd38d39d"/>
    <s v="italian"/>
    <n v="1"/>
    <n v="5"/>
    <n v="5400"/>
    <n v="3"/>
    <n v="600"/>
    <n v="2200"/>
    <n v="130"/>
    <n v="129"/>
    <n v="230"/>
    <m/>
    <m/>
    <m/>
    <m/>
    <m/>
    <m/>
    <n v="79.041666665580124"/>
    <n v="3"/>
    <m/>
    <s v="Saturday"/>
    <m/>
    <m/>
    <m/>
    <n v="0.95568404043689348"/>
    <m/>
    <n v="-81.299999998882413"/>
    <n v="0.1111111111111111"/>
    <m/>
    <m/>
    <n v="0.27917556796036963"/>
    <m/>
    <d v="1899-12-30T01:21:18"/>
    <m/>
    <m/>
    <m/>
    <n v="2"/>
    <n v="1750"/>
    <m/>
    <m/>
    <m/>
    <m/>
    <m/>
    <m/>
    <m/>
    <m/>
    <n v="9"/>
    <m/>
    <m/>
    <n v="81.299999998882413"/>
    <n v="64.724074072437361"/>
    <s v="Saturday"/>
    <m/>
    <m/>
    <m/>
    <m/>
    <x v="22"/>
  </r>
  <r>
    <n v="1"/>
    <d v="2015-02-15T01:26:20"/>
    <d v="1899-12-30T01:26:20"/>
    <d v="2015-02-15T02:16:07"/>
    <d v="1899-12-30T02:16:07"/>
    <s v="e8542a04d734d0cae36d648b3f519e5c"/>
    <s v="italian"/>
    <n v="1"/>
    <n v="2"/>
    <n v="2800"/>
    <n v="2"/>
    <n v="1200"/>
    <n v="1600"/>
    <n v="21"/>
    <n v="17"/>
    <n v="16"/>
    <m/>
    <m/>
    <m/>
    <m/>
    <m/>
    <m/>
    <n v="48.400462960125878"/>
    <n v="1"/>
    <m/>
    <s v="Sunday"/>
    <m/>
    <m/>
    <m/>
    <n v="0.95343956810061503"/>
    <m/>
    <n v="-49.783333330415189"/>
    <n v="0.125"/>
    <m/>
    <m/>
    <n v="0.14759562160166309"/>
    <m/>
    <d v="1899-12-30T00:49:47"/>
    <m/>
    <m/>
    <m/>
    <n v="8"/>
    <n v="7870"/>
    <m/>
    <m/>
    <m/>
    <m/>
    <m/>
    <m/>
    <m/>
    <m/>
    <n v="8"/>
    <m/>
    <m/>
    <n v="49.783333330415189"/>
    <n v="62.652083331631729"/>
    <s v="Sunday"/>
    <m/>
    <m/>
    <m/>
    <m/>
    <x v="7"/>
  </r>
  <r>
    <n v="3"/>
    <d v="2015-02-15T02:40:36"/>
    <d v="1899-12-30T02:40:36"/>
    <d v="2015-02-15T03:20:26"/>
    <d v="1899-12-30T03:20:26"/>
    <s v="f0ade77b43923b38237db569b016ba25"/>
    <s v="NA"/>
    <n v="1"/>
    <n v="3"/>
    <n v="3900"/>
    <n v="3"/>
    <n v="1100"/>
    <n v="1600"/>
    <n v="6"/>
    <n v="6"/>
    <n v="9"/>
    <m/>
    <m/>
    <m/>
    <m/>
    <m/>
    <m/>
    <n v="38.72685184906004"/>
    <n v="2"/>
    <m/>
    <s v="Sunday"/>
    <m/>
    <m/>
    <m/>
    <n v="0.95009263531798382"/>
    <m/>
    <n v="-39.833333330461755"/>
    <n v="0.14285714285714285"/>
    <m/>
    <m/>
    <n v="0.28117709647147671"/>
    <m/>
    <d v="1899-12-30T00:39:50"/>
    <m/>
    <m/>
    <m/>
    <n v="2"/>
    <n v="1725"/>
    <m/>
    <m/>
    <m/>
    <m/>
    <m/>
    <m/>
    <m/>
    <m/>
    <n v="7"/>
    <m/>
    <m/>
    <n v="39.833333330461755"/>
    <n v="64.490476188948378"/>
    <s v="Sunday"/>
    <m/>
    <m/>
    <m/>
    <m/>
    <x v="23"/>
  </r>
  <r>
    <n v="2"/>
    <d v="2015-02-16T00:11:35"/>
    <d v="1899-12-30T00:11:35"/>
    <d v="2015-02-16T00:38:01"/>
    <d v="1899-12-30T00:38:01"/>
    <s v="f0ade77b43923b38237db569b016ba25"/>
    <s v="indian"/>
    <n v="3"/>
    <n v="4"/>
    <n v="4771"/>
    <n v="3"/>
    <n v="820"/>
    <n v="1604"/>
    <n v="8"/>
    <n v="6"/>
    <n v="18"/>
    <m/>
    <m/>
    <m/>
    <m/>
    <m/>
    <m/>
    <n v="25.699074071599171"/>
    <n v="0"/>
    <m/>
    <s v="Monday"/>
    <m/>
    <m/>
    <m/>
    <n v="0.95178107805977485"/>
    <m/>
    <n v="-26.433333330787718"/>
    <n v="0.16666666666666666"/>
    <m/>
    <m/>
    <n v="0.25723301699183415"/>
    <m/>
    <d v="1899-12-30T00:26:26"/>
    <m/>
    <m/>
    <m/>
    <n v="3"/>
    <n v="2015"/>
    <m/>
    <m/>
    <m/>
    <m/>
    <m/>
    <m/>
    <m/>
    <m/>
    <n v="6"/>
    <m/>
    <m/>
    <n v="26.433333330787718"/>
    <n v="68.599999998696148"/>
    <s v="Monday"/>
    <m/>
    <m/>
    <m/>
    <m/>
    <x v="24"/>
  </r>
  <r>
    <n v="1"/>
    <d v="2015-02-16T02:21:20"/>
    <d v="1899-12-30T02:21:20"/>
    <d v="2015-02-16T03:54:14"/>
    <d v="1899-12-30T03:54:14"/>
    <s v="e8542a04d734d0cae36d648b3f519e5c"/>
    <s v="italian"/>
    <n v="1"/>
    <n v="3"/>
    <n v="3400"/>
    <n v="3"/>
    <n v="1400"/>
    <n v="2100"/>
    <n v="22"/>
    <n v="21"/>
    <n v="39"/>
    <m/>
    <m/>
    <m/>
    <m/>
    <m/>
    <m/>
    <n v="90.319444441411179"/>
    <n v="2"/>
    <m/>
    <s v="Monday"/>
    <m/>
    <m/>
    <m/>
    <n v="0.95300212893591296"/>
    <m/>
    <n v="-92.899999996880069"/>
    <n v="0"/>
    <m/>
    <m/>
    <n v="0.27653549257951066"/>
    <m/>
    <d v="1899-12-30T01:32:54"/>
    <m/>
    <m/>
    <m/>
    <n v="1"/>
    <n v="1220"/>
    <m/>
    <m/>
    <m/>
    <m/>
    <m/>
    <m/>
    <m/>
    <m/>
    <n v="5"/>
    <m/>
    <m/>
    <n v="92.899999996880069"/>
    <n v="77.033333332277834"/>
    <s v="Monday"/>
    <m/>
    <m/>
    <m/>
    <m/>
    <x v="25"/>
  </r>
  <r>
    <n v="3"/>
    <d v="2015-02-16T04:19:33"/>
    <d v="1899-12-30T04:19:33"/>
    <d v="2015-02-16T06:34:00"/>
    <d v="1899-12-30T06:34:00"/>
    <s v="f0ade77b43923b38237db569b016ba25"/>
    <s v="NA"/>
    <n v="1"/>
    <n v="2"/>
    <n v="2200"/>
    <n v="2"/>
    <n v="600"/>
    <n v="1600"/>
    <n v="3"/>
    <n v="3"/>
    <n v="4"/>
    <m/>
    <m/>
    <m/>
    <m/>
    <m/>
    <m/>
    <n v="130.71527777501615"/>
    <n v="4"/>
    <m/>
    <s v="Monday"/>
    <m/>
    <m/>
    <m/>
    <n v="0.95141904173364833"/>
    <m/>
    <n v="-134.44999999715947"/>
    <n v="0"/>
    <m/>
    <m/>
    <n v="0.50516100202717051"/>
    <m/>
    <d v="1899-12-30T02:14:27"/>
    <m/>
    <m/>
    <m/>
    <n v="2"/>
    <n v="595"/>
    <m/>
    <m/>
    <m/>
    <m/>
    <m/>
    <m/>
    <m/>
    <m/>
    <n v="4"/>
    <m/>
    <m/>
    <n v="134.44999999715947"/>
    <n v="73.066666666127276"/>
    <s v="Monday"/>
    <m/>
    <m/>
    <m/>
    <m/>
    <x v="3"/>
  </r>
  <r>
    <n v="1"/>
    <d v="2015-02-16T19:19:17"/>
    <d v="1899-12-30T19:19:17"/>
    <d v="2015-02-16T20:16:43"/>
    <d v="1899-12-30T20:16:43"/>
    <s v="50905d7b2216bfeccb5b41016357176b"/>
    <s v="NA"/>
    <n v="2"/>
    <n v="8"/>
    <n v="7870"/>
    <n v="6"/>
    <n v="825"/>
    <n v="895"/>
    <n v="12"/>
    <n v="11"/>
    <n v="9"/>
    <m/>
    <m/>
    <m/>
    <m/>
    <m/>
    <m/>
    <n v="55.83796296705259"/>
    <n v="19"/>
    <m/>
    <s v="Monday"/>
    <m/>
    <m/>
    <m/>
    <n v="0.93875363320081395"/>
    <m/>
    <n v="-57.433333337539807"/>
    <n v="0"/>
    <m/>
    <m/>
    <n v="0.35921060405354976"/>
    <m/>
    <d v="1899-12-30T00:57:26"/>
    <m/>
    <m/>
    <m/>
    <n v="4"/>
    <n v="5500"/>
    <m/>
    <m/>
    <m/>
    <m/>
    <m/>
    <m/>
    <m/>
    <m/>
    <n v="3"/>
    <m/>
    <m/>
    <n v="57.433333337539807"/>
    <n v="52.605555555783212"/>
    <s v="Monday"/>
    <m/>
    <m/>
    <m/>
    <m/>
    <x v="26"/>
  </r>
  <r>
    <n v="1"/>
    <d v="2015-02-17T03:13:20"/>
    <d v="1899-12-30T03:13:20"/>
    <d v="2015-02-17T04:00:31"/>
    <d v="1899-12-30T04:00:31"/>
    <s v="e8542a04d734d0cae36d648b3f519e5c"/>
    <s v="italian"/>
    <n v="1"/>
    <n v="4"/>
    <n v="5800"/>
    <n v="4"/>
    <n v="700"/>
    <n v="2000"/>
    <n v="19"/>
    <n v="19"/>
    <n v="30"/>
    <m/>
    <m/>
    <m/>
    <m/>
    <m/>
    <m/>
    <n v="45.872685182257555"/>
    <n v="3"/>
    <m/>
    <s v="Tuesday"/>
    <m/>
    <m/>
    <m/>
    <m/>
    <m/>
    <m/>
    <n v="0"/>
    <m/>
    <m/>
    <n v="1"/>
    <m/>
    <d v="1899-12-30T00:47:11"/>
    <m/>
    <m/>
    <m/>
    <n v="5"/>
    <n v="5400"/>
    <m/>
    <m/>
    <m/>
    <m/>
    <m/>
    <m/>
    <m/>
    <m/>
    <n v="2"/>
    <m/>
    <m/>
    <n v="47.183333330322057"/>
    <n v="50.191666664904915"/>
    <s v="Tuesday"/>
    <m/>
    <m/>
    <m/>
    <m/>
    <x v="20"/>
  </r>
  <r>
    <n v="3"/>
    <d v="2015-02-18T01:15:45"/>
    <d v="1899-12-30T01:15:45"/>
    <d v="2015-02-18T02:08:57"/>
    <d v="1899-12-30T02:08:57"/>
    <s v="f0ade77b43923b38237db569b016ba25"/>
    <s v="NA"/>
    <n v="1"/>
    <n v="2"/>
    <n v="2100"/>
    <n v="2"/>
    <n v="700"/>
    <n v="1200"/>
    <n v="2"/>
    <n v="2"/>
    <n v="2"/>
    <m/>
    <m/>
    <m/>
    <m/>
    <m/>
    <m/>
    <n v="51.722222221724223"/>
    <n v="1"/>
    <m/>
    <s v="Wednesday"/>
    <m/>
    <m/>
    <m/>
    <m/>
    <m/>
    <m/>
    <m/>
    <m/>
    <m/>
    <m/>
    <m/>
    <m/>
    <m/>
    <m/>
    <m/>
    <n v="4"/>
    <n v="7104"/>
    <m/>
    <m/>
    <m/>
    <m/>
    <m/>
    <m/>
    <m/>
    <m/>
    <n v="1"/>
    <m/>
    <m/>
    <n v="53.199999999487773"/>
    <n v="53.199999999487773"/>
    <s v="Wednesday"/>
    <m/>
    <m/>
    <m/>
    <m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FFD38-6810-443A-8500-1B190808145F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99:D205" firstHeaderRow="1" firstDataRow="1" firstDataCol="1"/>
  <pivotFields count="55">
    <pivotField showAll="0"/>
    <pivotField numFmtId="22" showAll="0"/>
    <pivotField numFmtId="22" showAll="0"/>
    <pivotField axis="axisRow" showAll="0" measureFilter="1" sortType="descending">
      <items count="9">
        <item x="4"/>
        <item x="0"/>
        <item x="5"/>
        <item x="6"/>
        <item x="2"/>
        <item x="7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5"/>
        <item x="2"/>
        <item x="7"/>
        <item x="1"/>
        <item x="4"/>
        <item x="0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5"/>
    </i>
    <i>
      <x v="6"/>
    </i>
    <i>
      <x v="3"/>
    </i>
    <i>
      <x v="4"/>
    </i>
    <i>
      <x v="7"/>
    </i>
    <i t="grand">
      <x/>
    </i>
  </rowItems>
  <colItems count="1">
    <i/>
  </colItems>
  <dataFields count="1">
    <dataField name="Average of Delivery Time(Minutes)" fld="20" subtotal="average" baseField="3" baseItem="0"/>
  </dataFields>
  <formats count="11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5">
            <x v="3"/>
            <x v="4"/>
            <x v="5"/>
            <x v="6"/>
            <x v="7"/>
          </reference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field="3" type="button" dataOnly="0" labelOnly="1" outline="0" axis="axisRow" fieldPosition="0"/>
    </format>
    <format dxfId="73">
      <pivotArea dataOnly="0" labelOnly="1" outline="0" axis="axisValues" fieldPosition="0"/>
    </format>
    <format dxfId="46">
      <pivotArea outline="0" collapsedLevelsAreSubtotals="1" fieldPosition="0"/>
    </format>
    <format dxfId="45">
      <pivotArea dataOnly="0" labelOnly="1" fieldPosition="0">
        <references count="1">
          <reference field="3" count="5">
            <x v="3"/>
            <x v="4"/>
            <x v="5"/>
            <x v="6"/>
            <x v="7"/>
          </reference>
        </references>
      </pivotArea>
    </format>
    <format dxfId="44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6CB52-B138-436F-B16D-97BFA74DF09C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4:C192" firstHeaderRow="1" firstDataRow="1" firstDataCol="1"/>
  <pivotFields count="55"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6">
        <item x="0"/>
        <item x="14"/>
        <item x="39"/>
        <item x="17"/>
        <item x="7"/>
        <item x="30"/>
        <item x="2"/>
        <item x="10"/>
        <item x="32"/>
        <item x="11"/>
        <item x="12"/>
        <item x="8"/>
        <item x="5"/>
        <item x="33"/>
        <item x="4"/>
        <item x="35"/>
        <item x="9"/>
        <item x="13"/>
        <item x="38"/>
        <item x="23"/>
        <item x="29"/>
        <item x="3"/>
        <item x="19"/>
        <item x="43"/>
        <item x="28"/>
        <item x="1"/>
        <item x="37"/>
        <item x="6"/>
        <item x="15"/>
        <item x="34"/>
        <item x="20"/>
        <item x="44"/>
        <item x="42"/>
        <item x="22"/>
        <item x="25"/>
        <item x="31"/>
        <item x="24"/>
        <item x="16"/>
        <item x="27"/>
        <item x="36"/>
        <item x="26"/>
        <item x="21"/>
        <item x="40"/>
        <item x="18"/>
        <item x="41"/>
        <item t="default"/>
      </items>
    </pivotField>
    <pivotField showAll="0"/>
    <pivotField axis="axisRow" showAll="0">
      <items count="8">
        <item x="3"/>
        <item x="4"/>
        <item x="5"/>
        <item x="0"/>
        <item x="1"/>
        <item x="6"/>
        <item x="2"/>
        <item t="default"/>
      </items>
    </pivotField>
  </pivotFields>
  <rowFields count="1">
    <field x="5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Delivery Time(Mins)" fld="52" subtotal="average" baseField="54" baseItem="0"/>
  </dataFields>
  <formats count="18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54" type="button" dataOnly="0" labelOnly="1" outline="0" axis="axisRow" fieldPosition="0"/>
    </format>
    <format dxfId="89">
      <pivotArea dataOnly="0" labelOnly="1" fieldPosition="0">
        <references count="1">
          <reference field="54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54" type="button" dataOnly="0" labelOnly="1" outline="0" axis="axisRow" fieldPosition="0"/>
    </format>
    <format dxfId="83">
      <pivotArea dataOnly="0" labelOnly="1" fieldPosition="0">
        <references count="1">
          <reference field="54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54" type="button" dataOnly="0" labelOnly="1" outline="0" axis="axisRow" fieldPosition="0"/>
    </format>
    <format dxfId="49">
      <pivotArea dataOnly="0" labelOnly="1" fieldPosition="0">
        <references count="1">
          <reference field="54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60B6B-0FD1-4843-83A6-5E638FB5B571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6:C80" firstHeaderRow="1" firstDataRow="1" firstDataCol="1"/>
  <pivotFields count="15">
    <pivotField showAll="0"/>
    <pivotField dataField="1" numFmtId="22" showAll="0">
      <items count="46">
        <item x="36"/>
        <item x="39"/>
        <item x="2"/>
        <item x="26"/>
        <item x="13"/>
        <item x="28"/>
        <item x="15"/>
        <item x="41"/>
        <item x="38"/>
        <item x="5"/>
        <item x="32"/>
        <item x="34"/>
        <item x="30"/>
        <item x="31"/>
        <item x="6"/>
        <item x="19"/>
        <item x="18"/>
        <item x="20"/>
        <item x="23"/>
        <item x="10"/>
        <item x="3"/>
        <item x="16"/>
        <item x="0"/>
        <item x="12"/>
        <item x="42"/>
        <item x="29"/>
        <item x="17"/>
        <item x="44"/>
        <item x="35"/>
        <item x="27"/>
        <item x="40"/>
        <item x="1"/>
        <item x="7"/>
        <item x="14"/>
        <item x="33"/>
        <item x="25"/>
        <item x="43"/>
        <item x="22"/>
        <item x="4"/>
        <item x="8"/>
        <item x="24"/>
        <item x="11"/>
        <item x="37"/>
        <item x="21"/>
        <item x="9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4"/>
  </rowFields>
  <rowItems count="24">
    <i>
      <x v="21"/>
    </i>
    <i>
      <x v="22"/>
    </i>
    <i>
      <x v="24"/>
    </i>
    <i>
      <x v="25"/>
    </i>
    <i>
      <x v="26"/>
    </i>
    <i>
      <x v="27"/>
    </i>
    <i>
      <x v="28"/>
    </i>
    <i>
      <x v="30"/>
    </i>
    <i>
      <x v="31"/>
    </i>
    <i>
      <x v="33"/>
    </i>
    <i>
      <x v="34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created_at" fld="1" subtotal="count" baseField="14" baseItem="22"/>
  </dataFields>
  <formats count="11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14" type="button" dataOnly="0" labelOnly="1" outline="0" axis="axisRow" fieldPosition="0"/>
    </format>
    <format dxfId="107">
      <pivotArea dataOnly="0" labelOnly="1" fieldPosition="0">
        <references count="1">
          <reference field="14" count="23">
            <x v="21"/>
            <x v="22"/>
            <x v="24"/>
            <x v="25"/>
            <x v="26"/>
            <x v="27"/>
            <x v="28"/>
            <x v="30"/>
            <x v="31"/>
            <x v="33"/>
            <x v="34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</reference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  <format dxfId="72">
      <pivotArea field="14" type="button" dataOnly="0" labelOnly="1" outline="0" axis="axisRow" fieldPosition="0"/>
    </format>
    <format dxfId="71">
      <pivotArea dataOnly="0" labelOnly="1" outline="0" axis="axisValues" fieldPosition="0"/>
    </format>
    <format dxfId="55">
      <pivotArea outline="0" collapsedLevelsAreSubtotals="1" fieldPosition="0"/>
    </format>
    <format dxfId="54">
      <pivotArea dataOnly="0" labelOnly="1" fieldPosition="0">
        <references count="1">
          <reference field="14" count="23">
            <x v="21"/>
            <x v="22"/>
            <x v="24"/>
            <x v="25"/>
            <x v="26"/>
            <x v="27"/>
            <x v="28"/>
            <x v="30"/>
            <x v="31"/>
            <x v="33"/>
            <x v="34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</reference>
        </references>
      </pivotArea>
    </format>
    <format dxfId="5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890A1-C389-4FA8-990E-63D6B07A88EB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15">
    <pivotField axis="axisRow" showAll="0">
      <items count="5">
        <item x="0"/>
        <item x="1"/>
        <item x="2"/>
        <item x="3"/>
        <item t="default"/>
      </items>
    </pivotField>
    <pivotField numFmtId="22" showAll="0">
      <items count="46">
        <item x="36"/>
        <item x="39"/>
        <item x="2"/>
        <item x="26"/>
        <item x="13"/>
        <item x="28"/>
        <item x="15"/>
        <item x="41"/>
        <item x="38"/>
        <item x="5"/>
        <item x="32"/>
        <item x="34"/>
        <item x="30"/>
        <item x="31"/>
        <item x="6"/>
        <item x="19"/>
        <item x="18"/>
        <item x="20"/>
        <item x="23"/>
        <item x="10"/>
        <item x="3"/>
        <item x="16"/>
        <item x="0"/>
        <item x="12"/>
        <item x="42"/>
        <item x="29"/>
        <item x="17"/>
        <item x="44"/>
        <item x="35"/>
        <item x="27"/>
        <item x="40"/>
        <item x="1"/>
        <item x="7"/>
        <item x="14"/>
        <item x="33"/>
        <item x="25"/>
        <item x="43"/>
        <item x="22"/>
        <item x="4"/>
        <item x="8"/>
        <item x="24"/>
        <item x="11"/>
        <item x="37"/>
        <item x="21"/>
        <item x="9"/>
        <item t="default"/>
      </items>
    </pivotField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ore_id" fld="3" subtotal="count" baseField="0" baseItem="0"/>
  </dataFields>
  <formats count="14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dataOnly="0" labelOnly="1" fieldPosition="0">
        <references count="1">
          <reference field="0" count="0"/>
        </references>
      </pivotArea>
    </format>
    <format dxfId="112">
      <pivotArea dataOnly="0" labelOnly="1" fieldPosition="0">
        <references count="1">
          <reference field="0" count="1">
            <x v="3"/>
          </reference>
        </references>
      </pivotArea>
    </format>
    <format dxfId="111">
      <pivotArea dataOnly="0" labelOnly="1" grandRow="1" outline="0" fieldPosition="0"/>
    </format>
    <format dxfId="66">
      <pivotArea field="0" type="button" dataOnly="0" labelOnly="1" outline="0" axis="axisRow" fieldPosition="0"/>
    </format>
    <format dxfId="65">
      <pivotArea dataOnly="0" labelOnly="1" outline="0" axis="axisValues" fieldPosition="0"/>
    </format>
    <format dxfId="64">
      <pivotArea outline="0" collapsedLevelsAreSubtotals="1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4794B-B997-4897-8298-A56EB07111E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hours">
  <location ref="B35:C48" firstHeaderRow="1" firstDataRow="1" firstDataCol="1"/>
  <pivotFields count="22"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6"/>
        <item x="3"/>
        <item x="4"/>
        <item x="8"/>
        <item x="10"/>
        <item x="11"/>
        <item x="7"/>
        <item x="2"/>
        <item x="1"/>
        <item x="0"/>
        <item x="9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Number of Orders" fld="0" subtotal="count" baseField="21" baseItem="0"/>
  </dataFields>
  <formats count="11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1" type="button" dataOnly="0" labelOnly="1" outline="0" axis="axisRow" fieldPosition="0"/>
    </format>
    <format dxfId="101">
      <pivotArea dataOnly="0" labelOnly="1" fieldPosition="0">
        <references count="1">
          <reference field="21" count="0"/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  <format dxfId="70">
      <pivotArea field="21" type="button" dataOnly="0" labelOnly="1" outline="0" axis="axisRow" fieldPosition="0"/>
    </format>
    <format dxfId="69">
      <pivotArea dataOnly="0" labelOnly="1" outline="0" axis="axisValues" fieldPosition="0"/>
    </format>
    <format dxfId="58">
      <pivotArea outline="0" collapsedLevelsAreSubtotals="1" fieldPosition="0"/>
    </format>
    <format dxfId="57">
      <pivotArea dataOnly="0" labelOnly="1" fieldPosition="0">
        <references count="1">
          <reference field="21" count="0"/>
        </references>
      </pivotArea>
    </format>
    <format dxfId="5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E0DCC-247B-4F52-88D3-0B77BDD7AA37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9:C28" firstHeaderRow="1" firstDataRow="1" firstDataCol="1"/>
  <pivotFields count="21">
    <pivotField showAll="0"/>
    <pivotField numFmtId="22" showAll="0"/>
    <pivotField numFmtId="22" showAll="0"/>
    <pivotField showAll="0"/>
    <pivotField axis="axisRow" showAll="0">
      <items count="9">
        <item x="0"/>
        <item x="7"/>
        <item x="3"/>
        <item x="4"/>
        <item x="1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Delivery Time(Minutes)" fld="20" subtotal="average" baseField="4" baseItem="0"/>
  </dataFields>
  <formats count="11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4" type="button" dataOnly="0" labelOnly="1" outline="0" axis="axisRow" fieldPosition="0"/>
    </format>
    <format dxfId="95">
      <pivotArea dataOnly="0" labelOnly="1" fieldPosition="0">
        <references count="1">
          <reference field="4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68">
      <pivotArea field="4" type="button" dataOnly="0" labelOnly="1" outline="0" axis="axisRow" fieldPosition="0"/>
    </format>
    <format dxfId="67">
      <pivotArea dataOnly="0" labelOnly="1" outline="0" axis="axisValues" fieldPosition="0"/>
    </format>
    <format dxfId="61">
      <pivotArea outline="0" collapsedLevelsAreSubtotals="1" fieldPosition="0"/>
    </format>
    <format dxfId="60">
      <pivotArea dataOnly="0" labelOnly="1" fieldPosition="0">
        <references count="1">
          <reference field="4" count="0"/>
        </references>
      </pivotArea>
    </format>
    <format dxfId="5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D3D38-724F-44B8-B713-EA6FDE2F8106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ice Range">
  <location ref="D100:E128" firstHeaderRow="1" firstDataRow="1" firstDataCol="1"/>
  <pivotFields count="62">
    <pivotField showAll="0"/>
    <pivotField numFmtId="22" showAll="0"/>
    <pivotField numFmtId="168" showAll="0"/>
    <pivotField numFmtId="22" showAll="0"/>
    <pivotField numFmtId="168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8">
        <item x="0"/>
        <item x="26"/>
        <item x="6"/>
        <item x="5"/>
        <item x="14"/>
        <item x="10"/>
        <item x="7"/>
        <item x="23"/>
        <item x="13"/>
        <item x="8"/>
        <item x="1"/>
        <item x="11"/>
        <item x="18"/>
        <item x="25"/>
        <item x="9"/>
        <item x="4"/>
        <item x="24"/>
        <item x="17"/>
        <item x="3"/>
        <item x="21"/>
        <item x="16"/>
        <item x="20"/>
        <item x="19"/>
        <item x="12"/>
        <item x="22"/>
        <item x="2"/>
        <item x="15"/>
        <item t="default"/>
      </items>
    </pivotField>
  </pivotFields>
  <rowFields count="1">
    <field x="6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Average of subtotal" fld="9" subtotal="average" baseField="61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61" type="button" dataOnly="0" labelOnly="1" outline="0" axis="axisRow" fieldPosition="0"/>
    </format>
    <format dxfId="10">
      <pivotArea dataOnly="0" labelOnly="1" fieldPosition="0">
        <references count="1">
          <reference field="6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field="61" type="button" dataOnly="0" labelOnly="1" outline="0" axis="axisRow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61" type="button" dataOnly="0" labelOnly="1" outline="0" axis="axisRow" fieldPosition="0"/>
    </format>
    <format dxfId="2">
      <pivotArea dataOnly="0" labelOnly="1" fieldPosition="0">
        <references count="1">
          <reference field="6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64696-B02A-4EEC-8A12-8472FC3CB3A2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80:E88" firstHeaderRow="1" firstDataRow="1" firstDataCol="1"/>
  <pivotFields count="60">
    <pivotField showAll="0"/>
    <pivotField numFmtId="22" showAll="0"/>
    <pivotField numFmtId="168" showAll="0"/>
    <pivotField numFmtId="22"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3"/>
        <item x="4"/>
        <item x="5"/>
        <item x="0"/>
        <item x="1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Delivery Time(Minutes)" fld="22" subtotal="average" baseField="25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5" type="button" dataOnly="0" labelOnly="1" outline="0" axis="axisRow" fieldPosition="0"/>
    </format>
    <format dxfId="16">
      <pivotArea dataOnly="0" labelOnly="1" fieldPosition="0">
        <references count="1">
          <reference field="25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A3643-356D-4255-B0EE-4A9261563821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8:D23" firstHeaderRow="1" firstDataRow="1" firstDataCol="1"/>
  <pivotFields count="15">
    <pivotField axis="axisRow" showAll="0">
      <items count="5">
        <item x="0"/>
        <item x="1"/>
        <item x="2"/>
        <item x="3"/>
        <item t="default"/>
      </items>
    </pivotField>
    <pivotField numFmtId="22" showAll="0">
      <items count="46">
        <item x="36"/>
        <item x="39"/>
        <item x="2"/>
        <item x="26"/>
        <item x="13"/>
        <item x="28"/>
        <item x="15"/>
        <item x="41"/>
        <item x="38"/>
        <item x="5"/>
        <item x="32"/>
        <item x="34"/>
        <item x="30"/>
        <item x="31"/>
        <item x="6"/>
        <item x="19"/>
        <item x="18"/>
        <item x="20"/>
        <item x="23"/>
        <item x="10"/>
        <item x="3"/>
        <item x="16"/>
        <item x="0"/>
        <item x="12"/>
        <item x="42"/>
        <item x="29"/>
        <item x="17"/>
        <item x="44"/>
        <item x="35"/>
        <item x="27"/>
        <item x="40"/>
        <item x="1"/>
        <item x="7"/>
        <item x="14"/>
        <item x="33"/>
        <item x="25"/>
        <item x="43"/>
        <item x="22"/>
        <item x="4"/>
        <item x="8"/>
        <item x="24"/>
        <item x="11"/>
        <item x="37"/>
        <item x="21"/>
        <item x="9"/>
        <item t="default"/>
      </items>
    </pivotField>
    <pivotField numFmtId="22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btotal" fld="7" subtotal="average" baseField="0" baseItem="0"/>
  </dataFields>
  <formats count="12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1412C-2638-462C-AEB6-82915626AE28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11" firstHeaderRow="1" firstDataRow="1" firstDataCol="1"/>
  <pivotFields count="21">
    <pivotField showAll="0"/>
    <pivotField numFmtId="22" showAll="0"/>
    <pivotField numFmtId="22" showAll="0"/>
    <pivotField showAll="0"/>
    <pivotField showAll="0"/>
    <pivotField axis="axisRow" showAll="0" sortType="a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7">
    <i>
      <x v="2"/>
    </i>
    <i>
      <x v="5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Average of Delivery Time(Minutes)" fld="20" subtotal="average" baseField="5" baseItem="0"/>
  </dataFields>
  <formats count="12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5" type="button" dataOnly="0" labelOnly="1" outline="0" axis="axisRow" fieldPosition="0"/>
    </format>
    <format dxfId="40">
      <pivotArea dataOnly="0" labelOnly="1" fieldPosition="0">
        <references count="1">
          <reference field="5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3CAD-B0EA-4486-812A-973E990FA899}">
  <sheetPr>
    <tabColor rgb="FFC00000"/>
  </sheetPr>
  <dimension ref="A1:BJ48"/>
  <sheetViews>
    <sheetView showGridLines="0"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16.5703125" customWidth="1"/>
    <col min="2" max="3" width="16.85546875" customWidth="1"/>
    <col min="4" max="5" width="23.28515625" customWidth="1"/>
    <col min="6" max="6" width="34.7109375" bestFit="1" customWidth="1"/>
    <col min="7" max="7" width="25" customWidth="1"/>
    <col min="8" max="8" width="20" customWidth="1"/>
    <col min="9" max="9" width="18.140625" customWidth="1"/>
    <col min="10" max="10" width="17.7109375" customWidth="1"/>
    <col min="11" max="11" width="27.85546875" customWidth="1"/>
    <col min="12" max="12" width="24.28515625" customWidth="1"/>
    <col min="13" max="13" width="23.28515625" customWidth="1"/>
    <col min="14" max="14" width="25.5703125" customWidth="1"/>
    <col min="15" max="15" width="19" bestFit="1" customWidth="1"/>
    <col min="16" max="16" width="23.85546875" bestFit="1" customWidth="1"/>
    <col min="20" max="20" width="13" customWidth="1"/>
    <col min="21" max="21" width="19.28515625" customWidth="1"/>
    <col min="23" max="23" width="22.42578125" style="12" customWidth="1"/>
    <col min="24" max="24" width="33.28515625" style="15" customWidth="1"/>
    <col min="26" max="26" width="12.85546875" style="24" bestFit="1" customWidth="1"/>
    <col min="27" max="27" width="11.7109375" customWidth="1"/>
    <col min="28" max="28" width="28.28515625" customWidth="1"/>
    <col min="30" max="30" width="42" customWidth="1"/>
    <col min="32" max="32" width="47.5703125" style="40" bestFit="1" customWidth="1"/>
    <col min="33" max="33" width="40.5703125" bestFit="1" customWidth="1"/>
    <col min="36" max="36" width="12.28515625" customWidth="1"/>
    <col min="38" max="38" width="41.28515625" bestFit="1" customWidth="1"/>
    <col min="42" max="42" width="18.140625" customWidth="1"/>
    <col min="43" max="43" width="17.7109375" customWidth="1"/>
    <col min="46" max="46" width="10.42578125" customWidth="1"/>
    <col min="48" max="48" width="18.140625" customWidth="1"/>
    <col min="52" max="52" width="18.7109375" customWidth="1"/>
    <col min="55" max="55" width="22.140625" customWidth="1"/>
    <col min="56" max="56" width="24.5703125" customWidth="1"/>
    <col min="57" max="57" width="14.7109375" customWidth="1"/>
    <col min="59" max="59" width="19.140625" customWidth="1"/>
    <col min="60" max="60" width="20.140625" customWidth="1"/>
    <col min="62" max="62" width="24.5703125" bestFit="1" customWidth="1"/>
    <col min="63" max="63" width="10.7109375" customWidth="1"/>
  </cols>
  <sheetData>
    <row r="1" spans="1:62" s="1" customFormat="1" ht="15.75" x14ac:dyDescent="0.25">
      <c r="A1" s="1" t="s">
        <v>28</v>
      </c>
      <c r="B1" s="1" t="s">
        <v>0</v>
      </c>
      <c r="C1" s="1" t="s">
        <v>101</v>
      </c>
      <c r="D1" s="1" t="s">
        <v>1</v>
      </c>
      <c r="E1" s="1" t="s">
        <v>102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S1" s="4"/>
      <c r="T1" s="3" t="s">
        <v>28</v>
      </c>
      <c r="U1" s="3" t="s">
        <v>31</v>
      </c>
      <c r="V1" s="5"/>
      <c r="W1" s="11" t="s">
        <v>37</v>
      </c>
      <c r="X1" s="14" t="s">
        <v>40</v>
      </c>
      <c r="Y1" s="4"/>
      <c r="Z1" s="35" t="s">
        <v>45</v>
      </c>
      <c r="AB1" s="28" t="s">
        <v>78</v>
      </c>
      <c r="AC1" s="5"/>
      <c r="AD1" s="38" t="s">
        <v>80</v>
      </c>
      <c r="AF1" s="41" t="s">
        <v>88</v>
      </c>
      <c r="AG1" s="46" t="s">
        <v>87</v>
      </c>
      <c r="AL1" s="71" t="s">
        <v>103</v>
      </c>
      <c r="AP1" s="1" t="s">
        <v>5</v>
      </c>
      <c r="AQ1" s="1" t="s">
        <v>6</v>
      </c>
      <c r="AZ1" s="59"/>
      <c r="BC1" s="63" t="s">
        <v>91</v>
      </c>
      <c r="BD1" s="63" t="s">
        <v>92</v>
      </c>
      <c r="BE1" s="59" t="s">
        <v>90</v>
      </c>
      <c r="BG1" s="68" t="s">
        <v>99</v>
      </c>
      <c r="BH1" s="68" t="s">
        <v>98</v>
      </c>
      <c r="BJ1" s="74" t="s">
        <v>108</v>
      </c>
    </row>
    <row r="2" spans="1:62" ht="16.5" thickBot="1" x14ac:dyDescent="0.3">
      <c r="A2" s="32">
        <v>1</v>
      </c>
      <c r="B2" s="47">
        <v>42025.857951388891</v>
      </c>
      <c r="C2" s="70">
        <f>MOD(B2,1)</f>
        <v>0.85795138889079681</v>
      </c>
      <c r="D2" s="47">
        <v>42025.87599537037</v>
      </c>
      <c r="E2" s="70">
        <f>MOD(D2,1)</f>
        <v>0.87599537037021946</v>
      </c>
      <c r="F2" s="32" t="s">
        <v>22</v>
      </c>
      <c r="G2" s="48" t="s">
        <v>29</v>
      </c>
      <c r="H2" s="32">
        <v>2</v>
      </c>
      <c r="I2" s="32">
        <v>2</v>
      </c>
      <c r="J2" s="32">
        <v>1750</v>
      </c>
      <c r="K2" s="32">
        <v>2</v>
      </c>
      <c r="L2" s="32">
        <v>825</v>
      </c>
      <c r="M2" s="32">
        <v>825</v>
      </c>
      <c r="N2" s="32">
        <v>18</v>
      </c>
      <c r="O2" s="32">
        <v>18</v>
      </c>
      <c r="P2" s="32">
        <v>20</v>
      </c>
      <c r="T2" s="6">
        <v>1</v>
      </c>
      <c r="U2" s="7">
        <f>COUNTIF(A2:A46,T2)</f>
        <v>27</v>
      </c>
      <c r="W2" s="12">
        <f>(D2 -B2)*1400</f>
        <v>25.261574071191717</v>
      </c>
      <c r="X2" s="15">
        <f>HOUR(B2)</f>
        <v>20</v>
      </c>
      <c r="Z2" s="37" t="str">
        <f>TEXT(B2, "dddd" )</f>
        <v>Wednesday</v>
      </c>
      <c r="AA2" s="34" t="s">
        <v>47</v>
      </c>
      <c r="AB2" s="29">
        <f>COUNTIF(Z2:Z46,AA2)</f>
        <v>8</v>
      </c>
      <c r="AD2" s="53">
        <f>CORREL(I2:I46,J2:J46)</f>
        <v>0.78369900049790808</v>
      </c>
      <c r="AF2" s="42">
        <f>(B2-D2)*1440</f>
        <v>-25.983333330368623</v>
      </c>
      <c r="AG2" s="45">
        <f>COUNTIF(W2:W46, "&lt;30") / COUNTA(W2:W46)</f>
        <v>0.15555555555555556</v>
      </c>
      <c r="AJ2" s="52">
        <f>CORREL(I2:I46,O2:O46)</f>
        <v>0.19193581905596047</v>
      </c>
      <c r="AL2" s="72">
        <f>E2-C2</f>
        <v>1.8043981479422655E-2</v>
      </c>
      <c r="AP2" s="32">
        <v>4</v>
      </c>
      <c r="AQ2" s="32">
        <v>3441</v>
      </c>
      <c r="AZ2" s="58">
        <f>COUNTA(B2:B46)</f>
        <v>45</v>
      </c>
      <c r="BC2" s="62">
        <f>(D2-B2)*1440</f>
        <v>25.983333330368623</v>
      </c>
      <c r="BD2" s="62">
        <f>AVERAGE(BC2:BC46)</f>
        <v>51.27962962910533</v>
      </c>
      <c r="BE2" s="62" t="str">
        <f>TEXT(B2, "dddd")</f>
        <v>Wednesday</v>
      </c>
      <c r="BG2" s="69">
        <v>1</v>
      </c>
      <c r="BH2" s="69">
        <f>AVERAGEIF(A2:A46,BG2,J2:J46)</f>
        <v>3287.4444444444443</v>
      </c>
      <c r="BJ2" s="75">
        <f>M2-L2</f>
        <v>0</v>
      </c>
    </row>
    <row r="3" spans="1:62" ht="15.75" x14ac:dyDescent="0.25">
      <c r="A3" s="32">
        <v>1</v>
      </c>
      <c r="B3" s="61">
        <v>42026.846620370372</v>
      </c>
      <c r="C3" s="70">
        <f t="shared" ref="C3:C46" si="0">MOD(B3,1)</f>
        <v>0.84662037037196569</v>
      </c>
      <c r="D3" s="61">
        <v>42026.880358796298</v>
      </c>
      <c r="E3" s="70">
        <f t="shared" ref="E3:E46" si="1">MOD(D3,1)</f>
        <v>0.88035879629751435</v>
      </c>
      <c r="F3" s="32" t="s">
        <v>22</v>
      </c>
      <c r="G3" s="48" t="s">
        <v>29</v>
      </c>
      <c r="H3" s="32">
        <v>2</v>
      </c>
      <c r="I3" s="32">
        <v>3</v>
      </c>
      <c r="J3" s="32">
        <v>2015</v>
      </c>
      <c r="K3" s="32">
        <v>3</v>
      </c>
      <c r="L3" s="32">
        <v>395</v>
      </c>
      <c r="M3" s="32">
        <v>1025</v>
      </c>
      <c r="N3" s="32">
        <v>22</v>
      </c>
      <c r="O3" s="32">
        <v>13</v>
      </c>
      <c r="P3" s="32">
        <v>13</v>
      </c>
      <c r="T3" s="6">
        <v>2</v>
      </c>
      <c r="U3" s="7">
        <f>COUNTIF(A2:A46,T3)</f>
        <v>3</v>
      </c>
      <c r="W3" s="12">
        <f t="shared" ref="W3:W46" si="2">(D3 -B3)*1400</f>
        <v>47.233796295768116</v>
      </c>
      <c r="X3" s="15">
        <f t="shared" ref="X3:X46" si="3">HOUR(B3)</f>
        <v>20</v>
      </c>
      <c r="Z3" s="37" t="str">
        <f t="shared" ref="Z3:Z46" si="4">TEXT(B3, "dddd" )</f>
        <v>Thursday</v>
      </c>
      <c r="AA3" s="34" t="s">
        <v>48</v>
      </c>
      <c r="AB3" s="29">
        <f t="shared" ref="AB3:AB8" si="5">COUNTIF(Z3:Z47,AA3)</f>
        <v>8</v>
      </c>
      <c r="AD3" s="53">
        <f t="shared" ref="AD3:AD44" si="6">CORREL(I3:I47,J3:J47)</f>
        <v>0.78177412843006122</v>
      </c>
      <c r="AF3" s="42">
        <f t="shared" ref="AF3:AF44" si="7">(B3-D3)*1440</f>
        <v>-48.583333332790062</v>
      </c>
      <c r="AG3" s="45">
        <f t="shared" ref="AG3:AG45" si="8">COUNTIF(W3:W47, "&lt;30") / COUNTA(W3:W47)</f>
        <v>0.13636363636363635</v>
      </c>
      <c r="AJ3" s="52">
        <f t="shared" ref="AJ3:AJ45" si="9">CORREL(I3:I47,O3:O47)</f>
        <v>0.19242289195524179</v>
      </c>
      <c r="AL3" s="72">
        <f t="shared" ref="AL3:AL45" si="10">E3-C3</f>
        <v>3.3738425925548654E-2</v>
      </c>
      <c r="AP3" s="32">
        <v>1</v>
      </c>
      <c r="AQ3" s="32">
        <v>1900</v>
      </c>
      <c r="AT3" s="56"/>
      <c r="AU3" s="56" t="s">
        <v>5</v>
      </c>
      <c r="AV3" s="56" t="s">
        <v>6</v>
      </c>
      <c r="AZ3" s="58">
        <f t="shared" ref="AZ3:AZ46" si="11">COUNTA(B3:B47)</f>
        <v>44</v>
      </c>
      <c r="BC3" s="62">
        <f t="shared" ref="BC3:BC46" si="12">(D3-B3)*1440</f>
        <v>48.583333332790062</v>
      </c>
      <c r="BD3" s="62">
        <f t="shared" ref="BD3:BD46" si="13">AVERAGE(BC3:BC47)</f>
        <v>51.854545454076622</v>
      </c>
      <c r="BE3" s="62" t="str">
        <f t="shared" ref="BE3:BE46" si="14">TEXT(B3, "dddd")</f>
        <v>Thursday</v>
      </c>
      <c r="BG3" s="69">
        <v>3</v>
      </c>
      <c r="BH3" s="69">
        <f>AVERAGEIF(A3:A47,BG3,J3:J47)</f>
        <v>3785.5</v>
      </c>
      <c r="BJ3" s="75">
        <f t="shared" ref="BJ3:BJ48" si="15">M3-L3</f>
        <v>630</v>
      </c>
    </row>
    <row r="4" spans="1:62" ht="15.75" x14ac:dyDescent="0.25">
      <c r="A4" s="32">
        <v>3</v>
      </c>
      <c r="B4" s="61">
        <v>42026.86074074074</v>
      </c>
      <c r="C4" s="70">
        <f t="shared" si="0"/>
        <v>0.86074074073985685</v>
      </c>
      <c r="D4" s="60">
        <v>42026.881354166668</v>
      </c>
      <c r="E4" s="70">
        <f t="shared" si="1"/>
        <v>0.88135416666773381</v>
      </c>
      <c r="F4" s="32" t="s">
        <v>15</v>
      </c>
      <c r="G4" s="48" t="s">
        <v>29</v>
      </c>
      <c r="H4" s="32">
        <v>1</v>
      </c>
      <c r="I4" s="32">
        <v>1</v>
      </c>
      <c r="J4" s="32">
        <v>1900</v>
      </c>
      <c r="K4" s="32">
        <v>1</v>
      </c>
      <c r="L4" s="32">
        <v>1900</v>
      </c>
      <c r="M4" s="32">
        <v>1900</v>
      </c>
      <c r="N4" s="32">
        <v>1</v>
      </c>
      <c r="O4" s="32">
        <v>0</v>
      </c>
      <c r="P4" s="32">
        <v>0</v>
      </c>
      <c r="T4" s="6">
        <v>3</v>
      </c>
      <c r="U4" s="7">
        <f>COUNTIF(A2:A46,T4)</f>
        <v>12</v>
      </c>
      <c r="W4" s="12">
        <f t="shared" si="2"/>
        <v>28.858796299027745</v>
      </c>
      <c r="X4" s="15">
        <f t="shared" si="3"/>
        <v>20</v>
      </c>
      <c r="Z4" s="37" t="str">
        <f t="shared" si="4"/>
        <v>Thursday</v>
      </c>
      <c r="AA4" s="34" t="s">
        <v>49</v>
      </c>
      <c r="AB4" s="29">
        <f t="shared" si="5"/>
        <v>4</v>
      </c>
      <c r="AD4" s="53">
        <f t="shared" si="6"/>
        <v>0.78589053686602217</v>
      </c>
      <c r="AF4" s="42">
        <f t="shared" si="7"/>
        <v>-29.683333336142823</v>
      </c>
      <c r="AG4" s="45">
        <f t="shared" si="8"/>
        <v>0.13953488372093023</v>
      </c>
      <c r="AJ4" s="52">
        <f t="shared" si="9"/>
        <v>0.19263864415133253</v>
      </c>
      <c r="AL4" s="72">
        <f t="shared" si="10"/>
        <v>2.061342592787696E-2</v>
      </c>
      <c r="AP4" s="32">
        <v>1</v>
      </c>
      <c r="AQ4" s="32">
        <v>1900</v>
      </c>
      <c r="AT4" s="54" t="s">
        <v>5</v>
      </c>
      <c r="AU4" s="54">
        <v>1</v>
      </c>
      <c r="AV4" s="54"/>
      <c r="AZ4" s="58">
        <f t="shared" si="11"/>
        <v>43</v>
      </c>
      <c r="BC4" s="62">
        <f t="shared" si="12"/>
        <v>29.683333336142823</v>
      </c>
      <c r="BD4" s="62">
        <f t="shared" si="13"/>
        <v>51.930620154571656</v>
      </c>
      <c r="BE4" s="62" t="str">
        <f t="shared" si="14"/>
        <v>Thursday</v>
      </c>
      <c r="BG4" s="69">
        <v>4</v>
      </c>
      <c r="BH4" s="69">
        <f>AVERAGEIF(A4:A48,BG4,J4:J48)</f>
        <v>6001.333333333333</v>
      </c>
      <c r="BJ4" s="75">
        <f t="shared" si="15"/>
        <v>0</v>
      </c>
    </row>
    <row r="5" spans="1:62" ht="16.5" thickBot="1" x14ac:dyDescent="0.3">
      <c r="A5" s="32">
        <v>1</v>
      </c>
      <c r="B5" s="47">
        <v>42028.08425925926</v>
      </c>
      <c r="C5" s="70">
        <f t="shared" si="0"/>
        <v>8.4259259259852115E-2</v>
      </c>
      <c r="D5" s="47">
        <v>42028.115428240744</v>
      </c>
      <c r="E5" s="70">
        <f t="shared" si="1"/>
        <v>0.11542824074422242</v>
      </c>
      <c r="F5" s="32" t="s">
        <v>21</v>
      </c>
      <c r="G5" s="32" t="s">
        <v>19</v>
      </c>
      <c r="H5" s="32">
        <v>1</v>
      </c>
      <c r="I5" s="32">
        <v>1</v>
      </c>
      <c r="J5" s="32">
        <v>1800</v>
      </c>
      <c r="K5" s="32">
        <v>1</v>
      </c>
      <c r="L5" s="32">
        <v>1800</v>
      </c>
      <c r="M5" s="32">
        <v>1800</v>
      </c>
      <c r="N5" s="32">
        <v>27</v>
      </c>
      <c r="O5" s="32">
        <v>25</v>
      </c>
      <c r="P5" s="32">
        <v>24</v>
      </c>
      <c r="T5" s="8">
        <v>4</v>
      </c>
      <c r="U5" s="9">
        <f>COUNTIF(A2:A46,T5)</f>
        <v>3</v>
      </c>
      <c r="W5" s="12">
        <f t="shared" si="2"/>
        <v>43.636574078118429</v>
      </c>
      <c r="X5" s="15">
        <f t="shared" si="3"/>
        <v>2</v>
      </c>
      <c r="Z5" s="37" t="str">
        <f t="shared" si="4"/>
        <v>Saturday</v>
      </c>
      <c r="AA5" s="34" t="s">
        <v>50</v>
      </c>
      <c r="AB5" s="29">
        <f t="shared" si="5"/>
        <v>3</v>
      </c>
      <c r="AD5" s="53">
        <f t="shared" si="6"/>
        <v>0.78409990816454578</v>
      </c>
      <c r="AF5" s="42">
        <f t="shared" si="7"/>
        <v>-44.883333337493241</v>
      </c>
      <c r="AG5" s="45">
        <f t="shared" si="8"/>
        <v>0.11904761904761904</v>
      </c>
      <c r="AJ5" s="52">
        <f t="shared" si="9"/>
        <v>0.17805092057839134</v>
      </c>
      <c r="AL5" s="72">
        <f t="shared" si="10"/>
        <v>3.1168981484370306E-2</v>
      </c>
      <c r="AP5" s="32">
        <v>6</v>
      </c>
      <c r="AQ5" s="32">
        <v>6900</v>
      </c>
      <c r="AT5" s="55" t="s">
        <v>6</v>
      </c>
      <c r="AU5" s="55">
        <v>0.78369900049790797</v>
      </c>
      <c r="AV5" s="55">
        <v>1</v>
      </c>
      <c r="AZ5" s="58">
        <f t="shared" si="11"/>
        <v>42</v>
      </c>
      <c r="BC5" s="62">
        <f t="shared" si="12"/>
        <v>44.883333337493241</v>
      </c>
      <c r="BD5" s="62">
        <f t="shared" si="13"/>
        <v>52.460317459772341</v>
      </c>
      <c r="BE5" s="62" t="str">
        <f t="shared" si="14"/>
        <v>Saturday</v>
      </c>
      <c r="BG5" s="69">
        <v>2</v>
      </c>
      <c r="BH5" s="69">
        <f>AVERAGEIF(A5:A49,BG5,J5:J49)</f>
        <v>2630.3333333333335</v>
      </c>
      <c r="BJ5" s="75">
        <f t="shared" si="15"/>
        <v>0</v>
      </c>
    </row>
    <row r="6" spans="1:62" ht="15.75" x14ac:dyDescent="0.25">
      <c r="A6" s="32">
        <v>3</v>
      </c>
      <c r="B6" s="47">
        <v>42029.076979166668</v>
      </c>
      <c r="C6" s="70">
        <f t="shared" si="0"/>
        <v>7.6979166668024845E-2</v>
      </c>
      <c r="D6" s="47">
        <v>42029.103391203702</v>
      </c>
      <c r="E6" s="70">
        <f t="shared" si="1"/>
        <v>0.10339120370190358</v>
      </c>
      <c r="F6" s="32" t="s">
        <v>15</v>
      </c>
      <c r="G6" s="48" t="s">
        <v>29</v>
      </c>
      <c r="H6" s="32">
        <v>4</v>
      </c>
      <c r="I6" s="32">
        <v>4</v>
      </c>
      <c r="J6" s="32">
        <v>4986</v>
      </c>
      <c r="K6" s="32">
        <v>4</v>
      </c>
      <c r="L6" s="32">
        <v>699</v>
      </c>
      <c r="M6" s="32">
        <v>2362</v>
      </c>
      <c r="N6" s="32">
        <v>16</v>
      </c>
      <c r="O6" s="32">
        <v>6</v>
      </c>
      <c r="P6" s="32">
        <v>9</v>
      </c>
      <c r="W6" s="12">
        <f t="shared" si="2"/>
        <v>36.976851847430225</v>
      </c>
      <c r="X6" s="15">
        <f t="shared" si="3"/>
        <v>1</v>
      </c>
      <c r="Z6" s="37" t="str">
        <f t="shared" si="4"/>
        <v>Sunday</v>
      </c>
      <c r="AA6" s="34" t="s">
        <v>51</v>
      </c>
      <c r="AB6" s="29">
        <f t="shared" si="5"/>
        <v>5</v>
      </c>
      <c r="AD6" s="53">
        <f t="shared" si="6"/>
        <v>0.7815829881077393</v>
      </c>
      <c r="AF6" s="42">
        <f t="shared" si="7"/>
        <v>-38.033333328785375</v>
      </c>
      <c r="AG6" s="45">
        <f t="shared" si="8"/>
        <v>0.12195121951219512</v>
      </c>
      <c r="AJ6" s="52">
        <f t="shared" si="9"/>
        <v>0.18776005471996854</v>
      </c>
      <c r="AL6" s="72">
        <f t="shared" si="10"/>
        <v>2.6412037033878732E-2</v>
      </c>
      <c r="AP6" s="32">
        <v>3</v>
      </c>
      <c r="AQ6" s="32">
        <v>3900</v>
      </c>
      <c r="AZ6" s="58">
        <f t="shared" si="11"/>
        <v>41</v>
      </c>
      <c r="BC6" s="62">
        <f t="shared" si="12"/>
        <v>38.033333328785375</v>
      </c>
      <c r="BD6" s="62">
        <f t="shared" si="13"/>
        <v>52.645121950559634</v>
      </c>
      <c r="BE6" s="62" t="str">
        <f t="shared" si="14"/>
        <v>Sunday</v>
      </c>
      <c r="BJ6" s="75">
        <f t="shared" si="15"/>
        <v>1663</v>
      </c>
    </row>
    <row r="7" spans="1:62" ht="15.75" x14ac:dyDescent="0.25">
      <c r="A7" s="32">
        <v>1</v>
      </c>
      <c r="B7" s="47">
        <v>42030.090138888889</v>
      </c>
      <c r="C7" s="70">
        <f t="shared" si="0"/>
        <v>9.0138888888759539E-2</v>
      </c>
      <c r="D7" s="47">
        <v>42030.116226851853</v>
      </c>
      <c r="E7" s="70">
        <f t="shared" si="1"/>
        <v>0.11622685185284354</v>
      </c>
      <c r="F7" s="32" t="s">
        <v>21</v>
      </c>
      <c r="G7" s="32" t="s">
        <v>19</v>
      </c>
      <c r="H7" s="32">
        <v>1</v>
      </c>
      <c r="I7" s="32">
        <v>3</v>
      </c>
      <c r="J7" s="32">
        <v>3800</v>
      </c>
      <c r="K7" s="32">
        <v>3</v>
      </c>
      <c r="L7" s="32">
        <v>800</v>
      </c>
      <c r="M7" s="32">
        <v>1800</v>
      </c>
      <c r="N7" s="32">
        <v>21</v>
      </c>
      <c r="O7" s="32">
        <v>18</v>
      </c>
      <c r="P7" s="32">
        <v>20</v>
      </c>
      <c r="W7" s="12">
        <f t="shared" si="2"/>
        <v>36.523148149717599</v>
      </c>
      <c r="X7" s="15">
        <f t="shared" si="3"/>
        <v>2</v>
      </c>
      <c r="Z7" s="37" t="str">
        <f t="shared" si="4"/>
        <v>Monday</v>
      </c>
      <c r="AA7" s="34" t="s">
        <v>52</v>
      </c>
      <c r="AB7" s="29">
        <f t="shared" si="5"/>
        <v>8</v>
      </c>
      <c r="AD7" s="53">
        <f t="shared" si="6"/>
        <v>0.78005106263545254</v>
      </c>
      <c r="AF7" s="42">
        <f t="shared" si="7"/>
        <v>-37.566666668280959</v>
      </c>
      <c r="AG7" s="45">
        <f t="shared" si="8"/>
        <v>0.125</v>
      </c>
      <c r="AJ7" s="52">
        <f t="shared" si="9"/>
        <v>0.1956533588698697</v>
      </c>
      <c r="AL7" s="72">
        <f t="shared" si="10"/>
        <v>2.6087962964083999E-2</v>
      </c>
      <c r="AP7" s="50">
        <v>3</v>
      </c>
      <c r="AQ7" s="50">
        <v>5000</v>
      </c>
      <c r="AZ7" s="58">
        <f t="shared" si="11"/>
        <v>40</v>
      </c>
      <c r="BC7" s="62">
        <f t="shared" si="12"/>
        <v>37.566666668280959</v>
      </c>
      <c r="BD7" s="62">
        <f t="shared" si="13"/>
        <v>53.010416666103993</v>
      </c>
      <c r="BE7" s="62" t="str">
        <f t="shared" si="14"/>
        <v>Monday</v>
      </c>
      <c r="BJ7" s="75">
        <f t="shared" si="15"/>
        <v>1000</v>
      </c>
    </row>
    <row r="8" spans="1:62" ht="15.75" x14ac:dyDescent="0.25">
      <c r="A8" s="32">
        <v>1</v>
      </c>
      <c r="B8" s="47">
        <v>42031.092083333337</v>
      </c>
      <c r="C8" s="70">
        <f t="shared" si="0"/>
        <v>9.2083333336631767E-2</v>
      </c>
      <c r="D8" s="47">
        <v>42031.126666666663</v>
      </c>
      <c r="E8" s="70">
        <f t="shared" si="1"/>
        <v>0.12666666666336823</v>
      </c>
      <c r="F8" s="32" t="s">
        <v>18</v>
      </c>
      <c r="G8" s="32" t="s">
        <v>19</v>
      </c>
      <c r="H8" s="32">
        <v>1</v>
      </c>
      <c r="I8" s="32">
        <v>2</v>
      </c>
      <c r="J8" s="32">
        <v>3620</v>
      </c>
      <c r="K8" s="32">
        <v>2</v>
      </c>
      <c r="L8" s="32">
        <v>1425</v>
      </c>
      <c r="M8" s="32">
        <v>2195</v>
      </c>
      <c r="N8" s="32">
        <v>5</v>
      </c>
      <c r="O8" s="32">
        <v>5</v>
      </c>
      <c r="P8" s="32">
        <v>7</v>
      </c>
      <c r="W8" s="12">
        <f t="shared" si="2"/>
        <v>48.416666657431051</v>
      </c>
      <c r="X8" s="15">
        <f t="shared" si="3"/>
        <v>2</v>
      </c>
      <c r="Z8" s="37" t="str">
        <f t="shared" si="4"/>
        <v>Tuesday</v>
      </c>
      <c r="AA8" s="34" t="s">
        <v>53</v>
      </c>
      <c r="AB8" s="29">
        <f t="shared" si="5"/>
        <v>4</v>
      </c>
      <c r="AD8" s="53">
        <f t="shared" si="6"/>
        <v>0.78008846561065537</v>
      </c>
      <c r="AF8" s="42">
        <f t="shared" si="7"/>
        <v>-49.79999999050051</v>
      </c>
      <c r="AG8" s="45">
        <f t="shared" si="8"/>
        <v>0.12820512820512819</v>
      </c>
      <c r="AJ8" s="52">
        <f t="shared" si="9"/>
        <v>0.19564127750799026</v>
      </c>
      <c r="AL8" s="72">
        <f t="shared" si="10"/>
        <v>3.4583333326736465E-2</v>
      </c>
      <c r="AP8" s="32">
        <v>2</v>
      </c>
      <c r="AQ8" s="32">
        <v>3900</v>
      </c>
      <c r="AZ8" s="58">
        <f t="shared" si="11"/>
        <v>39</v>
      </c>
      <c r="BC8" s="62">
        <f t="shared" si="12"/>
        <v>49.79999999050051</v>
      </c>
      <c r="BD8" s="62">
        <f t="shared" si="13"/>
        <v>53.406410255791762</v>
      </c>
      <c r="BE8" s="62" t="str">
        <f t="shared" si="14"/>
        <v>Tuesday</v>
      </c>
      <c r="BJ8" s="75">
        <f t="shared" si="15"/>
        <v>770</v>
      </c>
    </row>
    <row r="9" spans="1:62" ht="15.75" x14ac:dyDescent="0.25">
      <c r="A9" s="32">
        <v>1</v>
      </c>
      <c r="B9" s="47">
        <v>42031.772893518515</v>
      </c>
      <c r="C9" s="70">
        <f t="shared" si="0"/>
        <v>0.77289351851504762</v>
      </c>
      <c r="D9" s="47">
        <v>42031.79315972222</v>
      </c>
      <c r="E9" s="70">
        <f t="shared" si="1"/>
        <v>0.79315972221957054</v>
      </c>
      <c r="F9" s="51" t="s">
        <v>25</v>
      </c>
      <c r="G9" s="32" t="s">
        <v>26</v>
      </c>
      <c r="H9" s="32">
        <v>4</v>
      </c>
      <c r="I9" s="32">
        <v>2</v>
      </c>
      <c r="J9" s="32">
        <v>595</v>
      </c>
      <c r="K9" s="32">
        <v>2</v>
      </c>
      <c r="L9" s="32">
        <v>200</v>
      </c>
      <c r="M9" s="32">
        <v>295</v>
      </c>
      <c r="N9" s="32">
        <v>5</v>
      </c>
      <c r="O9" s="32">
        <v>1</v>
      </c>
      <c r="P9" s="32">
        <v>1</v>
      </c>
      <c r="W9" s="12">
        <f t="shared" si="2"/>
        <v>28.372685186332092</v>
      </c>
      <c r="X9" s="15">
        <f t="shared" si="3"/>
        <v>18</v>
      </c>
      <c r="Z9" s="36" t="str">
        <f t="shared" si="4"/>
        <v>Tuesday</v>
      </c>
      <c r="AD9" s="53">
        <f t="shared" si="6"/>
        <v>0.78370518139199408</v>
      </c>
      <c r="AF9" s="42">
        <f t="shared" si="7"/>
        <v>-29.183333334513009</v>
      </c>
      <c r="AG9" s="45">
        <f t="shared" si="8"/>
        <v>0.13157894736842105</v>
      </c>
      <c r="AJ9" s="52">
        <f t="shared" si="9"/>
        <v>0.18931352496839984</v>
      </c>
      <c r="AL9" s="72">
        <f t="shared" si="10"/>
        <v>2.0266203704522923E-2</v>
      </c>
      <c r="AP9" s="32">
        <v>4</v>
      </c>
      <c r="AQ9" s="32">
        <v>4850</v>
      </c>
      <c r="AZ9" s="58">
        <f t="shared" si="11"/>
        <v>38</v>
      </c>
      <c r="BC9" s="62">
        <f t="shared" si="12"/>
        <v>29.183333334513009</v>
      </c>
      <c r="BD9" s="62">
        <f t="shared" si="13"/>
        <v>53.501315789088899</v>
      </c>
      <c r="BE9" s="62" t="str">
        <f t="shared" si="14"/>
        <v>Tuesday</v>
      </c>
      <c r="BJ9" s="75">
        <f t="shared" si="15"/>
        <v>95</v>
      </c>
    </row>
    <row r="10" spans="1:62" ht="15.75" x14ac:dyDescent="0.25">
      <c r="A10" s="32">
        <v>1</v>
      </c>
      <c r="B10" s="47">
        <v>42031.8516087963</v>
      </c>
      <c r="C10" s="70">
        <f t="shared" si="0"/>
        <v>0.85160879629984265</v>
      </c>
      <c r="D10" s="47">
        <v>42031.877696759257</v>
      </c>
      <c r="E10" s="70">
        <f t="shared" si="1"/>
        <v>0.87769675925665069</v>
      </c>
      <c r="F10" s="32" t="s">
        <v>22</v>
      </c>
      <c r="G10" s="48" t="s">
        <v>29</v>
      </c>
      <c r="H10" s="32">
        <v>2</v>
      </c>
      <c r="I10" s="32">
        <v>2</v>
      </c>
      <c r="J10" s="32">
        <v>1725</v>
      </c>
      <c r="K10" s="32">
        <v>2</v>
      </c>
      <c r="L10" s="32">
        <v>825</v>
      </c>
      <c r="M10" s="32">
        <v>900</v>
      </c>
      <c r="N10" s="32">
        <v>21</v>
      </c>
      <c r="O10" s="32">
        <v>18</v>
      </c>
      <c r="P10" s="32">
        <v>18</v>
      </c>
      <c r="W10" s="12">
        <f t="shared" si="2"/>
        <v>36.523148139531258</v>
      </c>
      <c r="X10" s="15">
        <f t="shared" si="3"/>
        <v>20</v>
      </c>
      <c r="Z10" s="36" t="str">
        <f t="shared" si="4"/>
        <v>Tuesday</v>
      </c>
      <c r="AD10" s="53">
        <f t="shared" si="6"/>
        <v>0.78245639965130687</v>
      </c>
      <c r="AF10" s="42">
        <f t="shared" si="7"/>
        <v>-37.56666665780358</v>
      </c>
      <c r="AG10" s="45">
        <f t="shared" si="8"/>
        <v>0.10810810810810811</v>
      </c>
      <c r="AJ10" s="52">
        <f t="shared" si="9"/>
        <v>0.18059878781110819</v>
      </c>
      <c r="AL10" s="72">
        <f t="shared" si="10"/>
        <v>2.6087962956808042E-2</v>
      </c>
      <c r="AP10" s="32">
        <v>4</v>
      </c>
      <c r="AQ10" s="32">
        <v>4771</v>
      </c>
      <c r="AZ10" s="58">
        <f t="shared" si="11"/>
        <v>37</v>
      </c>
      <c r="BC10" s="62">
        <f t="shared" si="12"/>
        <v>37.56666665780358</v>
      </c>
      <c r="BD10" s="62">
        <f t="shared" si="13"/>
        <v>54.158558558131496</v>
      </c>
      <c r="BE10" s="62" t="str">
        <f t="shared" si="14"/>
        <v>Tuesday</v>
      </c>
      <c r="BJ10" s="75">
        <f t="shared" si="15"/>
        <v>75</v>
      </c>
    </row>
    <row r="11" spans="1:62" ht="15.75" x14ac:dyDescent="0.25">
      <c r="A11" s="32">
        <v>3</v>
      </c>
      <c r="B11" s="49">
        <v>42032.85460648148</v>
      </c>
      <c r="C11" s="70">
        <f t="shared" si="0"/>
        <v>0.85460648148000473</v>
      </c>
      <c r="D11" s="49">
        <v>42032.881226851852</v>
      </c>
      <c r="E11" s="70">
        <f t="shared" si="1"/>
        <v>0.88122685185226146</v>
      </c>
      <c r="F11" s="50" t="s">
        <v>15</v>
      </c>
      <c r="G11" s="50" t="s">
        <v>29</v>
      </c>
      <c r="H11" s="50">
        <v>1</v>
      </c>
      <c r="I11" s="50">
        <v>3</v>
      </c>
      <c r="J11" s="50">
        <v>5000</v>
      </c>
      <c r="K11" s="50">
        <v>3</v>
      </c>
      <c r="L11" s="32">
        <v>1500</v>
      </c>
      <c r="M11" s="32">
        <v>1900</v>
      </c>
      <c r="N11" s="32">
        <v>2</v>
      </c>
      <c r="O11" s="32">
        <v>2</v>
      </c>
      <c r="P11" s="32">
        <v>2</v>
      </c>
      <c r="W11" s="12">
        <f t="shared" si="2"/>
        <v>37.268518521159422</v>
      </c>
      <c r="X11" s="15">
        <f t="shared" si="3"/>
        <v>20</v>
      </c>
      <c r="Z11" s="36" t="str">
        <f t="shared" si="4"/>
        <v>Wednesday</v>
      </c>
      <c r="AD11" s="53">
        <f t="shared" si="6"/>
        <v>0.77954349290164582</v>
      </c>
      <c r="AF11" s="42">
        <f t="shared" si="7"/>
        <v>-38.333333336049691</v>
      </c>
      <c r="AG11" s="45">
        <f t="shared" si="8"/>
        <v>0.1111111111111111</v>
      </c>
      <c r="AJ11" s="52">
        <f t="shared" si="9"/>
        <v>0.1803465178076761</v>
      </c>
      <c r="AL11" s="72">
        <f t="shared" si="10"/>
        <v>2.662037037225673E-2</v>
      </c>
      <c r="AP11" s="32">
        <v>2</v>
      </c>
      <c r="AQ11" s="32">
        <v>2100</v>
      </c>
      <c r="AZ11" s="58">
        <f t="shared" si="11"/>
        <v>36</v>
      </c>
      <c r="BC11" s="62">
        <f t="shared" si="12"/>
        <v>38.333333336049691</v>
      </c>
      <c r="BD11" s="62">
        <f t="shared" si="13"/>
        <v>54.619444444251712</v>
      </c>
      <c r="BE11" s="62" t="str">
        <f t="shared" si="14"/>
        <v>Wednesday</v>
      </c>
      <c r="BJ11" s="75">
        <f t="shared" si="15"/>
        <v>400</v>
      </c>
    </row>
    <row r="12" spans="1:62" ht="15.75" x14ac:dyDescent="0.25">
      <c r="A12" s="32">
        <v>1</v>
      </c>
      <c r="B12" s="49">
        <v>42032.856296296297</v>
      </c>
      <c r="C12" s="70">
        <f t="shared" si="0"/>
        <v>0.85629629629693227</v>
      </c>
      <c r="D12" s="49">
        <v>42032.877939814818</v>
      </c>
      <c r="E12" s="70">
        <f t="shared" si="1"/>
        <v>0.87793981481809169</v>
      </c>
      <c r="F12" s="50" t="s">
        <v>22</v>
      </c>
      <c r="G12" s="50" t="s">
        <v>29</v>
      </c>
      <c r="H12" s="50"/>
      <c r="I12" s="50">
        <v>3</v>
      </c>
      <c r="J12" s="50">
        <v>1765</v>
      </c>
      <c r="K12" s="32">
        <v>3</v>
      </c>
      <c r="L12" s="32">
        <v>275</v>
      </c>
      <c r="M12" s="32">
        <v>895</v>
      </c>
      <c r="N12" s="32">
        <v>22</v>
      </c>
      <c r="O12" s="32">
        <v>21</v>
      </c>
      <c r="P12" s="32">
        <v>24</v>
      </c>
      <c r="W12" s="12">
        <f t="shared" si="2"/>
        <v>30.30092592962319</v>
      </c>
      <c r="X12" s="15">
        <f t="shared" si="3"/>
        <v>20</v>
      </c>
      <c r="Z12" s="36" t="str">
        <f t="shared" si="4"/>
        <v>Wednesday</v>
      </c>
      <c r="AD12" s="53">
        <f t="shared" si="6"/>
        <v>0.78265148251323102</v>
      </c>
      <c r="AF12" s="42">
        <f t="shared" si="7"/>
        <v>-31.166666670469567</v>
      </c>
      <c r="AG12" s="45">
        <f t="shared" si="8"/>
        <v>0.11428571428571428</v>
      </c>
      <c r="AJ12" s="52">
        <f t="shared" si="9"/>
        <v>0.18014173743839973</v>
      </c>
      <c r="AL12" s="72">
        <f t="shared" si="10"/>
        <v>2.1643518521159422E-2</v>
      </c>
      <c r="AP12" s="32">
        <v>4</v>
      </c>
      <c r="AQ12" s="32">
        <v>4300</v>
      </c>
      <c r="AZ12" s="58">
        <f t="shared" si="11"/>
        <v>35</v>
      </c>
      <c r="BC12" s="62">
        <f t="shared" si="12"/>
        <v>31.166666670469567</v>
      </c>
      <c r="BD12" s="62">
        <f t="shared" si="13"/>
        <v>55.084761904486058</v>
      </c>
      <c r="BE12" s="62" t="str">
        <f t="shared" si="14"/>
        <v>Wednesday</v>
      </c>
      <c r="BJ12" s="75">
        <f t="shared" si="15"/>
        <v>620</v>
      </c>
    </row>
    <row r="13" spans="1:62" ht="15.75" x14ac:dyDescent="0.25">
      <c r="A13" s="32">
        <v>1</v>
      </c>
      <c r="B13" s="49">
        <v>42032.901134259257</v>
      </c>
      <c r="C13" s="70">
        <f t="shared" si="0"/>
        <v>0.90113425925665069</v>
      </c>
      <c r="D13" s="49">
        <v>42032.92491898148</v>
      </c>
      <c r="E13" s="70">
        <f t="shared" si="1"/>
        <v>0.92491898148000473</v>
      </c>
      <c r="F13" s="50" t="s">
        <v>22</v>
      </c>
      <c r="G13" s="50" t="s">
        <v>29</v>
      </c>
      <c r="H13" s="50">
        <v>2</v>
      </c>
      <c r="I13" s="50">
        <v>3</v>
      </c>
      <c r="J13" s="50">
        <v>1425</v>
      </c>
      <c r="K13" s="32">
        <v>3</v>
      </c>
      <c r="L13" s="32">
        <v>175</v>
      </c>
      <c r="M13" s="32">
        <v>900</v>
      </c>
      <c r="N13" s="32">
        <v>13</v>
      </c>
      <c r="O13" s="32">
        <v>12</v>
      </c>
      <c r="P13" s="32">
        <v>7</v>
      </c>
      <c r="W13" s="12">
        <f t="shared" si="2"/>
        <v>33.298611112695653</v>
      </c>
      <c r="X13" s="15">
        <f t="shared" si="3"/>
        <v>21</v>
      </c>
      <c r="Z13" s="36" t="str">
        <f t="shared" si="4"/>
        <v>Wednesday</v>
      </c>
      <c r="AD13" s="53">
        <f t="shared" si="6"/>
        <v>0.78799664030151595</v>
      </c>
      <c r="AF13" s="42">
        <f t="shared" si="7"/>
        <v>-34.250000001629815</v>
      </c>
      <c r="AG13" s="45">
        <f t="shared" si="8"/>
        <v>0.11764705882352941</v>
      </c>
      <c r="AJ13" s="52">
        <f t="shared" si="9"/>
        <v>0.18016456834523803</v>
      </c>
      <c r="AL13" s="72">
        <f t="shared" si="10"/>
        <v>2.3784722223354038E-2</v>
      </c>
      <c r="AP13" s="32">
        <v>2</v>
      </c>
      <c r="AQ13" s="32">
        <v>2200</v>
      </c>
      <c r="AZ13" s="58">
        <f t="shared" si="11"/>
        <v>34</v>
      </c>
      <c r="BC13" s="62">
        <f t="shared" si="12"/>
        <v>34.250000001629815</v>
      </c>
      <c r="BD13" s="62">
        <f t="shared" si="13"/>
        <v>55.788235293721833</v>
      </c>
      <c r="BE13" s="62" t="str">
        <f t="shared" si="14"/>
        <v>Wednesday</v>
      </c>
      <c r="BJ13" s="75">
        <f t="shared" si="15"/>
        <v>725</v>
      </c>
    </row>
    <row r="14" spans="1:62" ht="15.75" x14ac:dyDescent="0.25">
      <c r="A14" s="32">
        <v>1</v>
      </c>
      <c r="B14" s="47">
        <v>42034.071631944447</v>
      </c>
      <c r="C14" s="70">
        <f t="shared" si="0"/>
        <v>7.1631944447290152E-2</v>
      </c>
      <c r="D14" s="47">
        <v>42034.097708333335</v>
      </c>
      <c r="E14" s="70">
        <f t="shared" si="1"/>
        <v>9.7708333334594499E-2</v>
      </c>
      <c r="F14" s="32" t="s">
        <v>21</v>
      </c>
      <c r="G14" s="32" t="s">
        <v>19</v>
      </c>
      <c r="H14" s="32">
        <v>1</v>
      </c>
      <c r="I14" s="32">
        <v>2</v>
      </c>
      <c r="J14" s="32">
        <v>2700</v>
      </c>
      <c r="K14" s="32">
        <v>2</v>
      </c>
      <c r="L14" s="32">
        <v>1200</v>
      </c>
      <c r="M14" s="32">
        <v>1500</v>
      </c>
      <c r="N14" s="32">
        <v>16</v>
      </c>
      <c r="O14" s="32">
        <v>16</v>
      </c>
      <c r="P14" s="32">
        <v>13</v>
      </c>
      <c r="W14" s="12">
        <f t="shared" si="2"/>
        <v>36.506944442226086</v>
      </c>
      <c r="X14" s="15">
        <f t="shared" si="3"/>
        <v>1</v>
      </c>
      <c r="Z14" s="36" t="str">
        <f t="shared" si="4"/>
        <v>Friday</v>
      </c>
      <c r="AD14" s="53">
        <f t="shared" si="6"/>
        <v>0.79621987774792735</v>
      </c>
      <c r="AF14" s="42">
        <f t="shared" si="7"/>
        <v>-37.54999999771826</v>
      </c>
      <c r="AG14" s="45">
        <f t="shared" si="8"/>
        <v>0.12121212121212122</v>
      </c>
      <c r="AJ14" s="52">
        <f t="shared" si="9"/>
        <v>0.17981421310828766</v>
      </c>
      <c r="AL14" s="72">
        <f t="shared" si="10"/>
        <v>2.6076388887304347E-2</v>
      </c>
      <c r="AP14" s="32">
        <v>1</v>
      </c>
      <c r="AQ14" s="32">
        <v>1900</v>
      </c>
      <c r="AZ14" s="58">
        <f t="shared" si="11"/>
        <v>33</v>
      </c>
      <c r="BC14" s="62">
        <f t="shared" si="12"/>
        <v>37.54999999771826</v>
      </c>
      <c r="BD14" s="62">
        <f t="shared" si="13"/>
        <v>56.440909090451896</v>
      </c>
      <c r="BE14" s="62" t="str">
        <f t="shared" si="14"/>
        <v>Friday</v>
      </c>
      <c r="BJ14" s="75">
        <f t="shared" si="15"/>
        <v>300</v>
      </c>
    </row>
    <row r="15" spans="1:62" ht="15.75" x14ac:dyDescent="0.25">
      <c r="A15" s="32">
        <v>3</v>
      </c>
      <c r="B15" s="47">
        <v>42034.826041666667</v>
      </c>
      <c r="C15" s="70">
        <f t="shared" si="0"/>
        <v>0.82604166666715173</v>
      </c>
      <c r="D15" s="47">
        <v>42034.853298611109</v>
      </c>
      <c r="E15" s="70">
        <f t="shared" si="1"/>
        <v>0.85329861110949423</v>
      </c>
      <c r="F15" s="32" t="s">
        <v>22</v>
      </c>
      <c r="G15" s="32" t="s">
        <v>23</v>
      </c>
      <c r="H15" s="32">
        <v>2</v>
      </c>
      <c r="I15" s="32">
        <v>4</v>
      </c>
      <c r="J15" s="32">
        <v>3490</v>
      </c>
      <c r="K15" s="32">
        <v>3</v>
      </c>
      <c r="L15" s="32">
        <v>175</v>
      </c>
      <c r="M15" s="32">
        <v>850</v>
      </c>
      <c r="N15" s="32">
        <v>16</v>
      </c>
      <c r="O15" s="32">
        <v>16</v>
      </c>
      <c r="P15" s="32">
        <v>21</v>
      </c>
      <c r="W15" s="12">
        <f t="shared" si="2"/>
        <v>38.159722219279502</v>
      </c>
      <c r="X15" s="15">
        <f t="shared" si="3"/>
        <v>19</v>
      </c>
      <c r="Z15" s="36" t="str">
        <f t="shared" si="4"/>
        <v>Friday</v>
      </c>
      <c r="AD15" s="53">
        <f t="shared" si="6"/>
        <v>0.79474343869604192</v>
      </c>
      <c r="AF15" s="42">
        <f t="shared" si="7"/>
        <v>-39.249999996973202</v>
      </c>
      <c r="AG15" s="45">
        <f t="shared" si="8"/>
        <v>0.125</v>
      </c>
      <c r="AJ15" s="52">
        <f t="shared" si="9"/>
        <v>0.17785978790028517</v>
      </c>
      <c r="AL15" s="72">
        <f t="shared" si="10"/>
        <v>2.7256944442342501E-2</v>
      </c>
      <c r="AP15" s="32">
        <v>4</v>
      </c>
      <c r="AQ15" s="32">
        <v>4986</v>
      </c>
      <c r="AZ15" s="58">
        <f t="shared" si="11"/>
        <v>32</v>
      </c>
      <c r="BC15" s="62">
        <f t="shared" si="12"/>
        <v>39.249999996973202</v>
      </c>
      <c r="BD15" s="62">
        <f t="shared" si="13"/>
        <v>57.031249999599822</v>
      </c>
      <c r="BE15" s="62" t="str">
        <f t="shared" si="14"/>
        <v>Friday</v>
      </c>
      <c r="BJ15" s="75">
        <f t="shared" si="15"/>
        <v>675</v>
      </c>
    </row>
    <row r="16" spans="1:62" ht="15.75" x14ac:dyDescent="0.25">
      <c r="A16" s="32">
        <v>3</v>
      </c>
      <c r="B16" s="47">
        <v>42035.094861111109</v>
      </c>
      <c r="C16" s="70">
        <f t="shared" si="0"/>
        <v>9.4861111108912155E-2</v>
      </c>
      <c r="D16" s="47">
        <v>42035.113194444442</v>
      </c>
      <c r="E16" s="70">
        <f t="shared" si="1"/>
        <v>0.1131944444423425</v>
      </c>
      <c r="F16" s="32" t="s">
        <v>15</v>
      </c>
      <c r="G16" s="48" t="s">
        <v>29</v>
      </c>
      <c r="H16" s="32">
        <v>1</v>
      </c>
      <c r="I16" s="32">
        <v>2</v>
      </c>
      <c r="J16" s="32">
        <v>3900</v>
      </c>
      <c r="K16" s="32">
        <v>2</v>
      </c>
      <c r="L16" s="32">
        <v>1200</v>
      </c>
      <c r="M16" s="32">
        <v>2700</v>
      </c>
      <c r="N16" s="32">
        <v>10</v>
      </c>
      <c r="O16" s="32">
        <v>9</v>
      </c>
      <c r="P16" s="32">
        <v>9</v>
      </c>
      <c r="W16" s="12">
        <f t="shared" si="2"/>
        <v>25.666666666802485</v>
      </c>
      <c r="X16" s="15">
        <f t="shared" si="3"/>
        <v>2</v>
      </c>
      <c r="Z16" s="36" t="str">
        <f t="shared" si="4"/>
        <v>Saturday</v>
      </c>
      <c r="AD16" s="53">
        <f t="shared" si="6"/>
        <v>0.80080141691213258</v>
      </c>
      <c r="AF16" s="42">
        <f t="shared" si="7"/>
        <v>-26.400000000139698</v>
      </c>
      <c r="AG16" s="45">
        <f t="shared" si="8"/>
        <v>0.12903225806451613</v>
      </c>
      <c r="AI16" t="s">
        <v>46</v>
      </c>
      <c r="AJ16" s="52">
        <f t="shared" si="9"/>
        <v>0.1810740454933609</v>
      </c>
      <c r="AL16" s="72">
        <f t="shared" si="10"/>
        <v>1.8333333333430346E-2</v>
      </c>
      <c r="AP16" s="32">
        <v>1</v>
      </c>
      <c r="AQ16" s="32">
        <v>1525</v>
      </c>
      <c r="AZ16" s="58">
        <f t="shared" si="11"/>
        <v>31</v>
      </c>
      <c r="BC16" s="62">
        <f t="shared" si="12"/>
        <v>26.400000000139698</v>
      </c>
      <c r="BD16" s="62">
        <f t="shared" si="13"/>
        <v>57.604838709361971</v>
      </c>
      <c r="BE16" s="62" t="str">
        <f t="shared" si="14"/>
        <v>Saturday</v>
      </c>
      <c r="BJ16" s="75">
        <f t="shared" si="15"/>
        <v>1500</v>
      </c>
    </row>
    <row r="17" spans="1:62" ht="15.75" x14ac:dyDescent="0.25">
      <c r="A17" s="32">
        <v>1</v>
      </c>
      <c r="B17" s="47">
        <v>42035.098182870373</v>
      </c>
      <c r="C17" s="70">
        <f t="shared" si="0"/>
        <v>9.8182870373420883E-2</v>
      </c>
      <c r="D17" s="47">
        <v>42035.133125</v>
      </c>
      <c r="E17" s="70">
        <f t="shared" si="1"/>
        <v>0.13312500000029104</v>
      </c>
      <c r="F17" s="32" t="s">
        <v>20</v>
      </c>
      <c r="G17" s="32" t="s">
        <v>16</v>
      </c>
      <c r="H17" s="32">
        <v>1</v>
      </c>
      <c r="I17" s="32">
        <v>2</v>
      </c>
      <c r="J17" s="32">
        <v>950</v>
      </c>
      <c r="K17" s="32">
        <v>2</v>
      </c>
      <c r="L17" s="32">
        <v>150</v>
      </c>
      <c r="M17" s="32">
        <v>700</v>
      </c>
      <c r="N17" s="32">
        <v>24</v>
      </c>
      <c r="O17" s="32">
        <v>24</v>
      </c>
      <c r="P17" s="32">
        <v>26</v>
      </c>
      <c r="W17" s="12">
        <f t="shared" si="2"/>
        <v>48.918981477618217</v>
      </c>
      <c r="X17" s="15">
        <f t="shared" si="3"/>
        <v>2</v>
      </c>
      <c r="Z17" s="36" t="str">
        <f t="shared" si="4"/>
        <v>Saturday</v>
      </c>
      <c r="AD17" s="53">
        <f t="shared" si="6"/>
        <v>0.80552184386239545</v>
      </c>
      <c r="AF17" s="42">
        <f t="shared" si="7"/>
        <v>-50.316666662693024</v>
      </c>
      <c r="AG17" s="45">
        <f t="shared" si="8"/>
        <v>0.1</v>
      </c>
      <c r="AJ17" s="52">
        <f t="shared" si="9"/>
        <v>0.17477043619251034</v>
      </c>
      <c r="AL17" s="72">
        <f t="shared" si="10"/>
        <v>3.4942129626870155E-2</v>
      </c>
      <c r="AP17" s="32">
        <v>2</v>
      </c>
      <c r="AQ17" s="32">
        <v>3620</v>
      </c>
      <c r="AZ17" s="58">
        <f t="shared" si="11"/>
        <v>30</v>
      </c>
      <c r="BC17" s="62">
        <f t="shared" si="12"/>
        <v>50.316666662693024</v>
      </c>
      <c r="BD17" s="62">
        <f t="shared" si="13"/>
        <v>58.64499999966938</v>
      </c>
      <c r="BE17" s="62" t="str">
        <f t="shared" si="14"/>
        <v>Saturday</v>
      </c>
      <c r="BJ17" s="75">
        <f t="shared" si="15"/>
        <v>550</v>
      </c>
    </row>
    <row r="18" spans="1:62" ht="15.75" x14ac:dyDescent="0.25">
      <c r="A18" s="32">
        <v>1</v>
      </c>
      <c r="B18" s="47">
        <v>42035.19159722222</v>
      </c>
      <c r="C18" s="70">
        <f t="shared" si="0"/>
        <v>0.19159722221957054</v>
      </c>
      <c r="D18" s="47">
        <v>42035.241319444445</v>
      </c>
      <c r="E18" s="70">
        <f t="shared" si="1"/>
        <v>0.24131944444525288</v>
      </c>
      <c r="F18" s="32" t="s">
        <v>18</v>
      </c>
      <c r="G18" s="32" t="s">
        <v>19</v>
      </c>
      <c r="H18" s="32">
        <v>1</v>
      </c>
      <c r="I18" s="32">
        <v>2</v>
      </c>
      <c r="J18" s="32">
        <v>3150</v>
      </c>
      <c r="K18" s="32">
        <v>2</v>
      </c>
      <c r="L18" s="32">
        <v>1425</v>
      </c>
      <c r="M18" s="32">
        <v>1725</v>
      </c>
      <c r="N18" s="32">
        <v>4</v>
      </c>
      <c r="O18" s="32">
        <v>9</v>
      </c>
      <c r="P18" s="32">
        <v>12</v>
      </c>
      <c r="W18" s="12">
        <f t="shared" si="2"/>
        <v>69.611111115955282</v>
      </c>
      <c r="X18" s="15">
        <f t="shared" si="3"/>
        <v>4</v>
      </c>
      <c r="Z18" s="36" t="str">
        <f t="shared" si="4"/>
        <v>Saturday</v>
      </c>
      <c r="AD18" s="53">
        <f t="shared" si="6"/>
        <v>0.80353427922654441</v>
      </c>
      <c r="AF18" s="42">
        <f t="shared" si="7"/>
        <v>-71.600000004982576</v>
      </c>
      <c r="AG18" s="45">
        <f t="shared" si="8"/>
        <v>0.10344827586206896</v>
      </c>
      <c r="AJ18" s="52">
        <f t="shared" si="9"/>
        <v>0.17749398764339516</v>
      </c>
      <c r="AL18" s="72">
        <f t="shared" si="10"/>
        <v>4.9722222225682344E-2</v>
      </c>
      <c r="AP18" s="32">
        <v>3</v>
      </c>
      <c r="AQ18" s="32">
        <v>4475</v>
      </c>
      <c r="AZ18" s="58">
        <f t="shared" si="11"/>
        <v>29</v>
      </c>
      <c r="BC18" s="62">
        <f t="shared" si="12"/>
        <v>71.600000004982576</v>
      </c>
      <c r="BD18" s="62">
        <f t="shared" si="13"/>
        <v>58.932183907840979</v>
      </c>
      <c r="BE18" s="62" t="str">
        <f t="shared" si="14"/>
        <v>Saturday</v>
      </c>
      <c r="BJ18" s="75">
        <f t="shared" si="15"/>
        <v>300</v>
      </c>
    </row>
    <row r="19" spans="1:62" ht="15.75" x14ac:dyDescent="0.25">
      <c r="A19" s="32">
        <v>1</v>
      </c>
      <c r="B19" s="47">
        <v>42035.989722222221</v>
      </c>
      <c r="C19" s="70">
        <f t="shared" si="0"/>
        <v>0.98972222222073469</v>
      </c>
      <c r="D19" s="47">
        <v>42036.009780092594</v>
      </c>
      <c r="E19" s="70">
        <f t="shared" si="1"/>
        <v>9.7800925941555761E-3</v>
      </c>
      <c r="F19" s="32" t="s">
        <v>20</v>
      </c>
      <c r="G19" s="32" t="s">
        <v>16</v>
      </c>
      <c r="H19" s="32">
        <v>1</v>
      </c>
      <c r="I19" s="32">
        <v>5</v>
      </c>
      <c r="J19" s="32">
        <v>1285</v>
      </c>
      <c r="K19" s="32">
        <v>3</v>
      </c>
      <c r="L19" s="32">
        <v>150</v>
      </c>
      <c r="M19" s="32">
        <v>400</v>
      </c>
      <c r="N19" s="32">
        <v>12</v>
      </c>
      <c r="O19" s="32">
        <v>13</v>
      </c>
      <c r="P19" s="32">
        <v>11</v>
      </c>
      <c r="W19" s="12">
        <f t="shared" si="2"/>
        <v>28.081018522789236</v>
      </c>
      <c r="X19" s="15">
        <f t="shared" si="3"/>
        <v>23</v>
      </c>
      <c r="Z19" s="36" t="str">
        <f t="shared" si="4"/>
        <v>Saturday</v>
      </c>
      <c r="AD19" s="53">
        <f t="shared" si="6"/>
        <v>0.80347901236230845</v>
      </c>
      <c r="AF19" s="42">
        <f t="shared" si="7"/>
        <v>-28.883333337726071</v>
      </c>
      <c r="AG19" s="45">
        <f t="shared" si="8"/>
        <v>0.10714285714285714</v>
      </c>
      <c r="AJ19" s="52">
        <f t="shared" si="9"/>
        <v>0.1704428663489129</v>
      </c>
      <c r="AL19" s="72">
        <f t="shared" si="10"/>
        <v>-0.97994212962657912</v>
      </c>
      <c r="AP19" s="32">
        <v>3</v>
      </c>
      <c r="AQ19" s="32">
        <v>4375</v>
      </c>
      <c r="AZ19" s="58">
        <f t="shared" si="11"/>
        <v>28</v>
      </c>
      <c r="BC19" s="62">
        <f t="shared" si="12"/>
        <v>28.883333337726071</v>
      </c>
      <c r="BD19" s="62">
        <f t="shared" si="13"/>
        <v>58.479761904371635</v>
      </c>
      <c r="BE19" s="62" t="str">
        <f t="shared" si="14"/>
        <v>Saturday</v>
      </c>
      <c r="BJ19" s="75">
        <f t="shared" si="15"/>
        <v>250</v>
      </c>
    </row>
    <row r="20" spans="1:62" ht="15.75" x14ac:dyDescent="0.25">
      <c r="A20" s="32">
        <v>1</v>
      </c>
      <c r="B20" s="47">
        <v>42037.227650462963</v>
      </c>
      <c r="C20" s="70">
        <f t="shared" si="0"/>
        <v>0.22765046296262881</v>
      </c>
      <c r="D20" s="47">
        <v>42037.295243055552</v>
      </c>
      <c r="E20" s="70">
        <f t="shared" si="1"/>
        <v>0.29524305555241881</v>
      </c>
      <c r="F20" s="32" t="s">
        <v>21</v>
      </c>
      <c r="G20" s="32" t="s">
        <v>19</v>
      </c>
      <c r="H20" s="32">
        <v>1</v>
      </c>
      <c r="I20" s="32">
        <v>7</v>
      </c>
      <c r="J20" s="32">
        <v>14900</v>
      </c>
      <c r="K20" s="32">
        <v>5</v>
      </c>
      <c r="L20" s="32">
        <v>1200</v>
      </c>
      <c r="M20" s="32">
        <v>3900</v>
      </c>
      <c r="N20" s="32">
        <v>8</v>
      </c>
      <c r="O20" s="32">
        <v>11</v>
      </c>
      <c r="P20" s="32">
        <v>11</v>
      </c>
      <c r="W20" s="12">
        <f t="shared" si="2"/>
        <v>94.629629625706002</v>
      </c>
      <c r="X20" s="15">
        <f t="shared" si="3"/>
        <v>5</v>
      </c>
      <c r="Z20" s="36" t="str">
        <f t="shared" si="4"/>
        <v>Monday</v>
      </c>
      <c r="AD20" s="53">
        <f t="shared" si="6"/>
        <v>0.86940663658458783</v>
      </c>
      <c r="AF20" s="42">
        <f t="shared" si="7"/>
        <v>-97.333333329297602</v>
      </c>
      <c r="AG20" s="45">
        <f t="shared" si="8"/>
        <v>7.407407407407407E-2</v>
      </c>
      <c r="AJ20" s="52">
        <f t="shared" si="9"/>
        <v>0.18308573653879462</v>
      </c>
      <c r="AL20" s="72">
        <f t="shared" si="10"/>
        <v>6.7592592589790002E-2</v>
      </c>
      <c r="AP20" s="32">
        <v>2</v>
      </c>
      <c r="AQ20" s="32">
        <v>3150</v>
      </c>
      <c r="AZ20" s="58">
        <f t="shared" si="11"/>
        <v>27</v>
      </c>
      <c r="BC20" s="62">
        <f t="shared" si="12"/>
        <v>97.333333329297602</v>
      </c>
      <c r="BD20" s="62">
        <f t="shared" si="13"/>
        <v>59.575925925358511</v>
      </c>
      <c r="BE20" s="62" t="str">
        <f t="shared" si="14"/>
        <v>Monday</v>
      </c>
      <c r="BJ20" s="75">
        <f t="shared" si="15"/>
        <v>2700</v>
      </c>
    </row>
    <row r="21" spans="1:62" ht="15.75" x14ac:dyDescent="0.25">
      <c r="A21" s="32">
        <v>3</v>
      </c>
      <c r="B21" s="47">
        <v>42037.807557870372</v>
      </c>
      <c r="C21" s="70">
        <f t="shared" si="0"/>
        <v>0.80755787037196569</v>
      </c>
      <c r="D21" s="47">
        <v>42037.839803240742</v>
      </c>
      <c r="E21" s="70">
        <f t="shared" si="1"/>
        <v>0.83980324074218515</v>
      </c>
      <c r="F21" s="32" t="s">
        <v>15</v>
      </c>
      <c r="G21" s="48" t="s">
        <v>29</v>
      </c>
      <c r="H21" s="32">
        <v>4</v>
      </c>
      <c r="I21" s="32">
        <v>4</v>
      </c>
      <c r="J21" s="32">
        <v>4300</v>
      </c>
      <c r="K21" s="32">
        <v>4</v>
      </c>
      <c r="L21" s="32">
        <v>1200</v>
      </c>
      <c r="M21" s="32">
        <v>1500</v>
      </c>
      <c r="N21" s="32">
        <v>1</v>
      </c>
      <c r="O21" s="32">
        <v>1</v>
      </c>
      <c r="P21" s="32">
        <v>1</v>
      </c>
      <c r="W21" s="12">
        <f t="shared" si="2"/>
        <v>45.143518518307246</v>
      </c>
      <c r="X21" s="15">
        <f t="shared" si="3"/>
        <v>19</v>
      </c>
      <c r="Z21" s="36" t="str">
        <f t="shared" si="4"/>
        <v>Monday</v>
      </c>
      <c r="AD21" s="53">
        <f t="shared" si="6"/>
        <v>0.92572100006075198</v>
      </c>
      <c r="AF21" s="42">
        <f t="shared" si="7"/>
        <v>-46.433333333116025</v>
      </c>
      <c r="AG21" s="45">
        <f t="shared" si="8"/>
        <v>7.6923076923076927E-2</v>
      </c>
      <c r="AJ21" s="52">
        <f t="shared" si="9"/>
        <v>0.22917940163697065</v>
      </c>
      <c r="AL21" s="72">
        <f t="shared" si="10"/>
        <v>3.2245370370219462E-2</v>
      </c>
      <c r="AP21" s="32">
        <v>2</v>
      </c>
      <c r="AQ21" s="32">
        <v>950</v>
      </c>
      <c r="AZ21" s="58">
        <f t="shared" si="11"/>
        <v>26</v>
      </c>
      <c r="BC21" s="62">
        <f t="shared" si="12"/>
        <v>46.433333333116025</v>
      </c>
      <c r="BD21" s="62">
        <f t="shared" si="13"/>
        <v>58.123717948283925</v>
      </c>
      <c r="BE21" s="62" t="str">
        <f t="shared" si="14"/>
        <v>Monday</v>
      </c>
      <c r="BJ21" s="75">
        <f t="shared" si="15"/>
        <v>300</v>
      </c>
    </row>
    <row r="22" spans="1:62" ht="15.75" x14ac:dyDescent="0.25">
      <c r="A22" s="32">
        <v>3</v>
      </c>
      <c r="B22" s="47">
        <v>42038.890104166669</v>
      </c>
      <c r="C22" s="70">
        <f t="shared" si="0"/>
        <v>0.89010416666860692</v>
      </c>
      <c r="D22" s="47">
        <v>42038.925694444442</v>
      </c>
      <c r="E22" s="70">
        <f t="shared" si="1"/>
        <v>0.9256944444423425</v>
      </c>
      <c r="F22" s="32" t="s">
        <v>15</v>
      </c>
      <c r="G22" s="48" t="s">
        <v>29</v>
      </c>
      <c r="H22" s="32">
        <v>1</v>
      </c>
      <c r="I22" s="32">
        <v>6</v>
      </c>
      <c r="J22" s="32">
        <v>6900</v>
      </c>
      <c r="K22" s="32">
        <v>5</v>
      </c>
      <c r="L22" s="32">
        <v>600</v>
      </c>
      <c r="M22" s="32">
        <v>1800</v>
      </c>
      <c r="N22" s="32">
        <v>1</v>
      </c>
      <c r="O22" s="32">
        <v>1</v>
      </c>
      <c r="P22" s="32">
        <v>2</v>
      </c>
      <c r="W22" s="12">
        <f t="shared" si="2"/>
        <v>49.826388883229811</v>
      </c>
      <c r="X22" s="15">
        <f t="shared" si="3"/>
        <v>21</v>
      </c>
      <c r="Z22" s="36" t="str">
        <f t="shared" si="4"/>
        <v>Tuesday</v>
      </c>
      <c r="AD22" s="53">
        <f t="shared" si="6"/>
        <v>0.92713331362552243</v>
      </c>
      <c r="AF22" s="42">
        <f t="shared" si="7"/>
        <v>-51.249999994179234</v>
      </c>
      <c r="AG22" s="45">
        <f t="shared" si="8"/>
        <v>0.08</v>
      </c>
      <c r="AJ22" s="52">
        <f t="shared" si="9"/>
        <v>0.24626902457455774</v>
      </c>
      <c r="AL22" s="72">
        <f t="shared" si="10"/>
        <v>3.5590277773735579E-2</v>
      </c>
      <c r="AP22" s="32">
        <v>5</v>
      </c>
      <c r="AQ22" s="32">
        <v>1285</v>
      </c>
      <c r="AZ22" s="58">
        <f t="shared" si="11"/>
        <v>25</v>
      </c>
      <c r="BC22" s="62">
        <f t="shared" si="12"/>
        <v>51.249999994179234</v>
      </c>
      <c r="BD22" s="62">
        <f t="shared" si="13"/>
        <v>58.591333332890642</v>
      </c>
      <c r="BE22" s="62" t="str">
        <f t="shared" si="14"/>
        <v>Tuesday</v>
      </c>
      <c r="BJ22" s="75">
        <f t="shared" si="15"/>
        <v>1200</v>
      </c>
    </row>
    <row r="23" spans="1:62" ht="15.75" x14ac:dyDescent="0.25">
      <c r="A23" s="32">
        <v>1</v>
      </c>
      <c r="B23" s="47">
        <v>42041.029652777775</v>
      </c>
      <c r="C23" s="70">
        <f t="shared" si="0"/>
        <v>2.9652777775481809E-2</v>
      </c>
      <c r="D23" s="47">
        <v>42041.090613425928</v>
      </c>
      <c r="E23" s="70">
        <f t="shared" si="1"/>
        <v>9.0613425927585922E-2</v>
      </c>
      <c r="F23" s="32" t="s">
        <v>18</v>
      </c>
      <c r="G23" s="32" t="s">
        <v>19</v>
      </c>
      <c r="H23" s="32">
        <v>1</v>
      </c>
      <c r="I23" s="32">
        <v>3</v>
      </c>
      <c r="J23" s="32">
        <v>4475</v>
      </c>
      <c r="K23" s="32">
        <v>3</v>
      </c>
      <c r="L23" s="32">
        <v>925</v>
      </c>
      <c r="M23" s="32">
        <v>1825</v>
      </c>
      <c r="N23" s="32">
        <v>4</v>
      </c>
      <c r="O23" s="32">
        <v>1</v>
      </c>
      <c r="P23" s="32">
        <v>1</v>
      </c>
      <c r="W23" s="12">
        <f t="shared" si="2"/>
        <v>85.344907412945759</v>
      </c>
      <c r="X23" s="15">
        <f t="shared" si="3"/>
        <v>0</v>
      </c>
      <c r="Z23" s="36" t="str">
        <f t="shared" si="4"/>
        <v>Friday</v>
      </c>
      <c r="AD23" s="53">
        <f t="shared" si="6"/>
        <v>0.91848844032587351</v>
      </c>
      <c r="AF23" s="42">
        <f t="shared" si="7"/>
        <v>-87.783333339029923</v>
      </c>
      <c r="AG23" s="45">
        <f t="shared" si="8"/>
        <v>8.3333333333333329E-2</v>
      </c>
      <c r="AJ23" s="52">
        <f t="shared" si="9"/>
        <v>0.31385094388076684</v>
      </c>
      <c r="AL23" s="72">
        <f t="shared" si="10"/>
        <v>6.0960648152104113E-2</v>
      </c>
      <c r="AP23" s="32">
        <v>4</v>
      </c>
      <c r="AQ23" s="32">
        <v>5800</v>
      </c>
      <c r="AZ23" s="58">
        <f t="shared" si="11"/>
        <v>24</v>
      </c>
      <c r="BC23" s="62">
        <f t="shared" si="12"/>
        <v>87.783333339029923</v>
      </c>
      <c r="BD23" s="62">
        <f t="shared" si="13"/>
        <v>58.89722222200362</v>
      </c>
      <c r="BE23" s="62" t="str">
        <f t="shared" si="14"/>
        <v>Friday</v>
      </c>
      <c r="BJ23" s="75">
        <f t="shared" si="15"/>
        <v>900</v>
      </c>
    </row>
    <row r="24" spans="1:62" ht="15.75" x14ac:dyDescent="0.25">
      <c r="A24" s="32">
        <v>1</v>
      </c>
      <c r="B24" s="47">
        <v>42041.933530092596</v>
      </c>
      <c r="C24" s="70">
        <f t="shared" si="0"/>
        <v>0.93353009259590181</v>
      </c>
      <c r="D24" s="47">
        <v>42041.977268518516</v>
      </c>
      <c r="E24" s="70">
        <f t="shared" si="1"/>
        <v>0.97726851851621177</v>
      </c>
      <c r="F24" s="32" t="s">
        <v>13</v>
      </c>
      <c r="G24" s="32" t="s">
        <v>14</v>
      </c>
      <c r="H24" s="32">
        <v>1</v>
      </c>
      <c r="I24" s="32">
        <v>4</v>
      </c>
      <c r="J24" s="32">
        <v>3441</v>
      </c>
      <c r="K24" s="32">
        <v>4</v>
      </c>
      <c r="L24" s="32">
        <v>557</v>
      </c>
      <c r="M24" s="32">
        <v>1239</v>
      </c>
      <c r="N24" s="32">
        <v>33</v>
      </c>
      <c r="O24" s="32">
        <v>14</v>
      </c>
      <c r="P24" s="32">
        <v>21</v>
      </c>
      <c r="W24" s="12">
        <f t="shared" si="2"/>
        <v>61.23379628843395</v>
      </c>
      <c r="X24" s="15">
        <f t="shared" si="3"/>
        <v>22</v>
      </c>
      <c r="Z24" s="36" t="str">
        <f t="shared" si="4"/>
        <v>Friday</v>
      </c>
      <c r="AD24" s="53">
        <f t="shared" si="6"/>
        <v>0.92076647400188738</v>
      </c>
      <c r="AF24" s="42">
        <f t="shared" si="7"/>
        <v>-62.983333325246349</v>
      </c>
      <c r="AG24" s="45">
        <f t="shared" si="8"/>
        <v>8.6956521739130432E-2</v>
      </c>
      <c r="AJ24" s="52">
        <f t="shared" si="9"/>
        <v>0.31892960488206373</v>
      </c>
      <c r="AL24" s="72">
        <f t="shared" si="10"/>
        <v>4.3738425920309965E-2</v>
      </c>
      <c r="AP24" s="32">
        <v>2</v>
      </c>
      <c r="AQ24" s="32">
        <v>2800</v>
      </c>
      <c r="AZ24" s="58">
        <f t="shared" si="11"/>
        <v>23</v>
      </c>
      <c r="BC24" s="62">
        <f t="shared" si="12"/>
        <v>62.983333325246349</v>
      </c>
      <c r="BD24" s="62">
        <f t="shared" si="13"/>
        <v>57.6413043473503</v>
      </c>
      <c r="BE24" s="62" t="str">
        <f t="shared" si="14"/>
        <v>Friday</v>
      </c>
      <c r="BJ24" s="75">
        <f t="shared" si="15"/>
        <v>682</v>
      </c>
    </row>
    <row r="25" spans="1:62" ht="15.75" x14ac:dyDescent="0.25">
      <c r="A25" s="32">
        <v>3</v>
      </c>
      <c r="B25" s="47">
        <v>42042.065636574072</v>
      </c>
      <c r="C25" s="70">
        <f t="shared" si="0"/>
        <v>6.5636574072414078E-2</v>
      </c>
      <c r="D25" s="47">
        <v>42042.095300925925</v>
      </c>
      <c r="E25" s="70">
        <f t="shared" si="1"/>
        <v>9.5300925924675539E-2</v>
      </c>
      <c r="F25" s="32" t="s">
        <v>15</v>
      </c>
      <c r="G25" s="48" t="s">
        <v>29</v>
      </c>
      <c r="H25" s="32">
        <v>1</v>
      </c>
      <c r="I25" s="32">
        <v>1</v>
      </c>
      <c r="J25" s="32">
        <v>1900</v>
      </c>
      <c r="K25" s="32">
        <v>1</v>
      </c>
      <c r="L25" s="32">
        <v>1900</v>
      </c>
      <c r="M25" s="32">
        <v>1900</v>
      </c>
      <c r="N25" s="32">
        <v>6</v>
      </c>
      <c r="O25" s="32">
        <v>3</v>
      </c>
      <c r="P25" s="32">
        <v>3</v>
      </c>
      <c r="W25" s="12">
        <f t="shared" si="2"/>
        <v>41.530092593166046</v>
      </c>
      <c r="X25" s="15">
        <f t="shared" si="3"/>
        <v>1</v>
      </c>
      <c r="Z25" s="36" t="str">
        <f t="shared" si="4"/>
        <v>Saturday</v>
      </c>
      <c r="AD25" s="53">
        <f t="shared" si="6"/>
        <v>0.93342824870615371</v>
      </c>
      <c r="AF25" s="42">
        <f t="shared" si="7"/>
        <v>-42.716666667256504</v>
      </c>
      <c r="AG25" s="45">
        <f t="shared" si="8"/>
        <v>9.0909090909090912E-2</v>
      </c>
      <c r="AJ25" s="52">
        <f t="shared" si="9"/>
        <v>0.33267408295617801</v>
      </c>
      <c r="AL25" s="72">
        <f t="shared" si="10"/>
        <v>2.9664351852261461E-2</v>
      </c>
      <c r="AP25" s="32">
        <v>7</v>
      </c>
      <c r="AQ25" s="32">
        <v>14900</v>
      </c>
      <c r="AZ25" s="58">
        <f t="shared" si="11"/>
        <v>22</v>
      </c>
      <c r="BC25" s="62">
        <f t="shared" si="12"/>
        <v>42.716666667256504</v>
      </c>
      <c r="BD25" s="62">
        <f t="shared" si="13"/>
        <v>57.398484848355025</v>
      </c>
      <c r="BE25" s="62" t="str">
        <f t="shared" si="14"/>
        <v>Saturday</v>
      </c>
      <c r="BJ25" s="75">
        <f t="shared" si="15"/>
        <v>0</v>
      </c>
    </row>
    <row r="26" spans="1:62" ht="15.75" x14ac:dyDescent="0.25">
      <c r="A26" s="32">
        <v>4</v>
      </c>
      <c r="B26" s="47">
        <v>42042.067060185182</v>
      </c>
      <c r="C26" s="70">
        <f t="shared" si="0"/>
        <v>6.7060185181617271E-2</v>
      </c>
      <c r="D26" s="47">
        <v>42042.115590277775</v>
      </c>
      <c r="E26" s="70">
        <f t="shared" si="1"/>
        <v>0.11559027777548181</v>
      </c>
      <c r="F26" s="32" t="s">
        <v>27</v>
      </c>
      <c r="G26" s="32" t="s">
        <v>19</v>
      </c>
      <c r="H26" s="32">
        <v>1</v>
      </c>
      <c r="I26" s="32">
        <v>4</v>
      </c>
      <c r="J26" s="32">
        <v>5500</v>
      </c>
      <c r="K26" s="32">
        <v>4</v>
      </c>
      <c r="L26" s="32">
        <v>700</v>
      </c>
      <c r="M26" s="32">
        <v>1900</v>
      </c>
      <c r="N26" s="32">
        <v>117</v>
      </c>
      <c r="O26" s="32">
        <v>112</v>
      </c>
      <c r="P26" s="32">
        <v>178</v>
      </c>
      <c r="W26" s="12">
        <f t="shared" si="2"/>
        <v>67.942129631410353</v>
      </c>
      <c r="X26" s="15">
        <f t="shared" si="3"/>
        <v>1</v>
      </c>
      <c r="Z26" s="36" t="str">
        <f t="shared" si="4"/>
        <v>Saturday</v>
      </c>
      <c r="AD26" s="53">
        <f t="shared" si="6"/>
        <v>0.93112623738496803</v>
      </c>
      <c r="AF26" s="42">
        <f t="shared" si="7"/>
        <v>-69.883333335164934</v>
      </c>
      <c r="AG26" s="45">
        <f t="shared" si="8"/>
        <v>9.5238095238095233E-2</v>
      </c>
      <c r="AJ26" s="52">
        <f t="shared" si="9"/>
        <v>0.31286406828940305</v>
      </c>
      <c r="AL26" s="72">
        <f t="shared" si="10"/>
        <v>4.8530092593864538E-2</v>
      </c>
      <c r="AP26" s="32">
        <v>3</v>
      </c>
      <c r="AQ26" s="32">
        <v>3400</v>
      </c>
      <c r="AZ26" s="58">
        <f t="shared" si="11"/>
        <v>21</v>
      </c>
      <c r="BC26" s="62">
        <f t="shared" si="12"/>
        <v>69.883333335164934</v>
      </c>
      <c r="BD26" s="62">
        <f t="shared" si="13"/>
        <v>58.097619047454955</v>
      </c>
      <c r="BE26" s="62" t="str">
        <f t="shared" si="14"/>
        <v>Saturday</v>
      </c>
      <c r="BJ26" s="75">
        <f t="shared" si="15"/>
        <v>1200</v>
      </c>
    </row>
    <row r="27" spans="1:62" ht="15.75" x14ac:dyDescent="0.25">
      <c r="A27" s="32">
        <v>1</v>
      </c>
      <c r="B27" s="47">
        <v>42042.072523148148</v>
      </c>
      <c r="C27" s="70">
        <f t="shared" si="0"/>
        <v>7.2523148148320615E-2</v>
      </c>
      <c r="D27" s="47">
        <v>42042.116736111115</v>
      </c>
      <c r="E27" s="70">
        <f t="shared" si="1"/>
        <v>0.11673611111473292</v>
      </c>
      <c r="F27" s="32" t="s">
        <v>21</v>
      </c>
      <c r="G27" s="32" t="s">
        <v>19</v>
      </c>
      <c r="H27" s="32">
        <v>1</v>
      </c>
      <c r="I27" s="32">
        <v>1</v>
      </c>
      <c r="J27" s="32">
        <v>1800</v>
      </c>
      <c r="K27" s="32">
        <v>1</v>
      </c>
      <c r="L27" s="32">
        <v>1800</v>
      </c>
      <c r="M27" s="32">
        <v>1800</v>
      </c>
      <c r="N27" s="32">
        <v>22</v>
      </c>
      <c r="O27" s="32">
        <v>21</v>
      </c>
      <c r="P27" s="32">
        <v>20</v>
      </c>
      <c r="W27" s="12">
        <f t="shared" si="2"/>
        <v>61.898148152977228</v>
      </c>
      <c r="X27" s="15">
        <f t="shared" si="3"/>
        <v>1</v>
      </c>
      <c r="Z27" s="36" t="str">
        <f t="shared" si="4"/>
        <v>Saturday</v>
      </c>
      <c r="AD27" s="53">
        <f t="shared" si="6"/>
        <v>0.93063356947249598</v>
      </c>
      <c r="AF27" s="42">
        <f t="shared" si="7"/>
        <v>-63.66666667163372</v>
      </c>
      <c r="AG27" s="45">
        <f t="shared" si="8"/>
        <v>0.1</v>
      </c>
      <c r="AJ27" s="52">
        <f t="shared" si="9"/>
        <v>0.28155500894736907</v>
      </c>
      <c r="AL27" s="72">
        <f t="shared" si="10"/>
        <v>4.4212962966412306E-2</v>
      </c>
      <c r="AP27" s="32">
        <v>3</v>
      </c>
      <c r="AQ27" s="32">
        <v>3800</v>
      </c>
      <c r="AZ27" s="58">
        <f t="shared" si="11"/>
        <v>20</v>
      </c>
      <c r="BC27" s="62">
        <f t="shared" si="12"/>
        <v>63.66666667163372</v>
      </c>
      <c r="BD27" s="62">
        <f t="shared" si="13"/>
        <v>57.508333333069459</v>
      </c>
      <c r="BE27" s="62" t="str">
        <f t="shared" si="14"/>
        <v>Saturday</v>
      </c>
      <c r="BJ27" s="75">
        <f t="shared" si="15"/>
        <v>0</v>
      </c>
    </row>
    <row r="28" spans="1:62" ht="15.75" x14ac:dyDescent="0.25">
      <c r="A28" s="32">
        <v>1</v>
      </c>
      <c r="B28" s="47">
        <v>42043.08630787037</v>
      </c>
      <c r="C28" s="70">
        <f t="shared" si="0"/>
        <v>8.6307870369637385E-2</v>
      </c>
      <c r="D28" s="47">
        <v>42043.143900462965</v>
      </c>
      <c r="E28" s="70">
        <f t="shared" si="1"/>
        <v>0.14390046296466608</v>
      </c>
      <c r="F28" s="32" t="s">
        <v>18</v>
      </c>
      <c r="G28" s="32" t="s">
        <v>19</v>
      </c>
      <c r="H28" s="32">
        <v>1</v>
      </c>
      <c r="I28" s="32">
        <v>3</v>
      </c>
      <c r="J28" s="32">
        <v>4375</v>
      </c>
      <c r="K28" s="32">
        <v>3</v>
      </c>
      <c r="L28" s="32">
        <v>1325</v>
      </c>
      <c r="M28" s="32">
        <v>1625</v>
      </c>
      <c r="N28" s="32">
        <v>6</v>
      </c>
      <c r="O28" s="32">
        <v>4</v>
      </c>
      <c r="P28" s="32">
        <v>3</v>
      </c>
      <c r="W28" s="12">
        <f t="shared" si="2"/>
        <v>80.629629633040167</v>
      </c>
      <c r="X28" s="15">
        <f t="shared" si="3"/>
        <v>2</v>
      </c>
      <c r="Z28" s="36" t="str">
        <f t="shared" si="4"/>
        <v>Sunday</v>
      </c>
      <c r="AD28" s="53">
        <f t="shared" si="6"/>
        <v>0.92746433369556236</v>
      </c>
      <c r="AF28" s="42">
        <f t="shared" si="7"/>
        <v>-82.933333336841315</v>
      </c>
      <c r="AG28" s="45">
        <f t="shared" si="8"/>
        <v>0.10526315789473684</v>
      </c>
      <c r="AJ28" s="52">
        <f t="shared" si="9"/>
        <v>0.28649836840608256</v>
      </c>
      <c r="AL28" s="72">
        <f t="shared" si="10"/>
        <v>5.7592592595028691E-2</v>
      </c>
      <c r="AP28" s="32">
        <v>1</v>
      </c>
      <c r="AQ28" s="32">
        <v>1800</v>
      </c>
      <c r="AZ28" s="58">
        <f t="shared" si="11"/>
        <v>19</v>
      </c>
      <c r="BC28" s="62">
        <f t="shared" si="12"/>
        <v>82.933333336841315</v>
      </c>
      <c r="BD28" s="62">
        <f t="shared" si="13"/>
        <v>57.184210525776599</v>
      </c>
      <c r="BE28" s="62" t="str">
        <f t="shared" si="14"/>
        <v>Sunday</v>
      </c>
      <c r="BJ28" s="75">
        <f t="shared" si="15"/>
        <v>300</v>
      </c>
    </row>
    <row r="29" spans="1:62" ht="15.75" x14ac:dyDescent="0.25">
      <c r="A29" s="32">
        <v>4</v>
      </c>
      <c r="B29" s="47">
        <v>42043.118680555555</v>
      </c>
      <c r="C29" s="70">
        <f t="shared" si="0"/>
        <v>0.11868055555532919</v>
      </c>
      <c r="D29" s="47">
        <v>42043.169317129628</v>
      </c>
      <c r="E29" s="70">
        <f t="shared" si="1"/>
        <v>0.16931712962832535</v>
      </c>
      <c r="F29" s="32" t="s">
        <v>27</v>
      </c>
      <c r="G29" s="32" t="s">
        <v>19</v>
      </c>
      <c r="H29" s="32">
        <v>1</v>
      </c>
      <c r="I29" s="32">
        <v>4</v>
      </c>
      <c r="J29" s="32">
        <v>7104</v>
      </c>
      <c r="K29" s="32">
        <v>3</v>
      </c>
      <c r="L29" s="32">
        <v>751</v>
      </c>
      <c r="M29" s="32">
        <v>2191</v>
      </c>
      <c r="N29" s="32">
        <v>121</v>
      </c>
      <c r="O29" s="32">
        <v>119</v>
      </c>
      <c r="P29" s="32">
        <v>205</v>
      </c>
      <c r="W29" s="12">
        <f t="shared" si="2"/>
        <v>70.891203702194616</v>
      </c>
      <c r="X29" s="15">
        <f t="shared" si="3"/>
        <v>2</v>
      </c>
      <c r="Z29" s="36" t="str">
        <f t="shared" si="4"/>
        <v>Sunday</v>
      </c>
      <c r="AD29" s="53">
        <f t="shared" si="6"/>
        <v>0.92954595835222342</v>
      </c>
      <c r="AF29" s="42">
        <f t="shared" si="7"/>
        <v>-72.916666665114462</v>
      </c>
      <c r="AG29" s="45">
        <f t="shared" si="8"/>
        <v>0.1111111111111111</v>
      </c>
      <c r="AJ29" s="52">
        <f t="shared" si="9"/>
        <v>0.28988699897433168</v>
      </c>
      <c r="AL29" s="72">
        <f t="shared" si="10"/>
        <v>5.0636574072996154E-2</v>
      </c>
      <c r="AP29" s="32">
        <v>4</v>
      </c>
      <c r="AQ29" s="32">
        <v>5800</v>
      </c>
      <c r="AZ29" s="58">
        <f t="shared" si="11"/>
        <v>18</v>
      </c>
      <c r="BC29" s="62">
        <f t="shared" si="12"/>
        <v>72.916666665114462</v>
      </c>
      <c r="BD29" s="62">
        <f t="shared" si="13"/>
        <v>55.753703702939674</v>
      </c>
      <c r="BE29" s="62" t="str">
        <f t="shared" si="14"/>
        <v>Sunday</v>
      </c>
      <c r="BJ29" s="75">
        <f t="shared" si="15"/>
        <v>1440</v>
      </c>
    </row>
    <row r="30" spans="1:62" ht="15.75" x14ac:dyDescent="0.25">
      <c r="A30" s="32">
        <v>2</v>
      </c>
      <c r="B30" s="47">
        <v>42044.853819444441</v>
      </c>
      <c r="C30" s="70">
        <f t="shared" si="0"/>
        <v>0.85381944444088731</v>
      </c>
      <c r="D30" s="47">
        <v>42044.887199074074</v>
      </c>
      <c r="E30" s="70">
        <f t="shared" si="1"/>
        <v>0.88719907407357823</v>
      </c>
      <c r="F30" s="32" t="s">
        <v>22</v>
      </c>
      <c r="G30" s="32" t="s">
        <v>24</v>
      </c>
      <c r="H30" s="32">
        <v>5</v>
      </c>
      <c r="I30" s="32">
        <v>1</v>
      </c>
      <c r="J30" s="32">
        <v>1220</v>
      </c>
      <c r="K30" s="32">
        <v>1</v>
      </c>
      <c r="L30" s="32">
        <v>825</v>
      </c>
      <c r="M30" s="32">
        <v>825</v>
      </c>
      <c r="N30" s="32">
        <v>21</v>
      </c>
      <c r="O30" s="32">
        <v>21</v>
      </c>
      <c r="P30" s="32">
        <v>20</v>
      </c>
      <c r="W30" s="12">
        <f t="shared" si="2"/>
        <v>46.73148148576729</v>
      </c>
      <c r="X30" s="15">
        <f t="shared" si="3"/>
        <v>20</v>
      </c>
      <c r="Z30" s="36" t="str">
        <f t="shared" si="4"/>
        <v>Monday</v>
      </c>
      <c r="AD30" s="53">
        <f t="shared" si="6"/>
        <v>0.96139465231059384</v>
      </c>
      <c r="AF30" s="42">
        <f t="shared" si="7"/>
        <v>-48.066666671074927</v>
      </c>
      <c r="AG30" s="45">
        <f t="shared" si="8"/>
        <v>0.11764705882352941</v>
      </c>
      <c r="AJ30" s="52">
        <f t="shared" si="9"/>
        <v>0.25989446220379858</v>
      </c>
      <c r="AL30" s="72">
        <f t="shared" si="10"/>
        <v>3.3379629632690921E-2</v>
      </c>
      <c r="AP30" s="32">
        <v>3</v>
      </c>
      <c r="AQ30" s="32">
        <v>3800</v>
      </c>
      <c r="AZ30" s="58">
        <f t="shared" si="11"/>
        <v>17</v>
      </c>
      <c r="BC30" s="62">
        <f t="shared" si="12"/>
        <v>48.066666671074927</v>
      </c>
      <c r="BD30" s="64">
        <f t="shared" si="13"/>
        <v>54.744117646341159</v>
      </c>
      <c r="BE30" s="64" t="str">
        <f t="shared" si="14"/>
        <v>Monday</v>
      </c>
      <c r="BJ30" s="75">
        <f t="shared" si="15"/>
        <v>0</v>
      </c>
    </row>
    <row r="31" spans="1:62" ht="15.75" x14ac:dyDescent="0.25">
      <c r="A31" s="32">
        <v>1</v>
      </c>
      <c r="B31" s="47">
        <v>42045.192118055558</v>
      </c>
      <c r="C31" s="70">
        <f t="shared" si="0"/>
        <v>0.19211805555823958</v>
      </c>
      <c r="D31" s="47">
        <v>42045.222650462965</v>
      </c>
      <c r="E31" s="70">
        <f t="shared" si="1"/>
        <v>0.22265046296524815</v>
      </c>
      <c r="F31" s="32" t="s">
        <v>21</v>
      </c>
      <c r="G31" s="32" t="s">
        <v>19</v>
      </c>
      <c r="H31" s="32">
        <v>1</v>
      </c>
      <c r="I31" s="32">
        <v>4</v>
      </c>
      <c r="J31" s="32">
        <v>5800</v>
      </c>
      <c r="K31" s="32">
        <v>4</v>
      </c>
      <c r="L31" s="32">
        <v>700</v>
      </c>
      <c r="M31" s="32">
        <v>2000</v>
      </c>
      <c r="N31" s="32">
        <v>13</v>
      </c>
      <c r="O31" s="32">
        <v>16</v>
      </c>
      <c r="P31" s="32">
        <v>27</v>
      </c>
      <c r="W31" s="12">
        <f t="shared" si="2"/>
        <v>42.745370369812008</v>
      </c>
      <c r="X31" s="15">
        <f t="shared" si="3"/>
        <v>4</v>
      </c>
      <c r="Z31" s="36" t="str">
        <f t="shared" si="4"/>
        <v>Tuesday</v>
      </c>
      <c r="AD31" s="53">
        <f t="shared" si="6"/>
        <v>0.95883661032966694</v>
      </c>
      <c r="AF31" s="42">
        <f t="shared" si="7"/>
        <v>-43.966666666092351</v>
      </c>
      <c r="AG31" s="45">
        <f t="shared" si="8"/>
        <v>0.125</v>
      </c>
      <c r="AJ31" s="52">
        <f t="shared" si="9"/>
        <v>0.27404589257126349</v>
      </c>
      <c r="AL31" s="72">
        <f t="shared" si="10"/>
        <v>3.0532407407008577E-2</v>
      </c>
      <c r="AP31" s="32">
        <v>1</v>
      </c>
      <c r="AQ31" s="32">
        <v>1800</v>
      </c>
      <c r="AZ31" s="58">
        <f t="shared" si="11"/>
        <v>16</v>
      </c>
      <c r="BC31" s="62">
        <f t="shared" si="12"/>
        <v>43.966666666092351</v>
      </c>
      <c r="BD31" s="62">
        <f t="shared" si="13"/>
        <v>55.161458332295297</v>
      </c>
      <c r="BE31" s="62" t="str">
        <f t="shared" si="14"/>
        <v>Tuesday</v>
      </c>
      <c r="BJ31" s="75">
        <f t="shared" si="15"/>
        <v>1300</v>
      </c>
    </row>
    <row r="32" spans="1:62" ht="15.75" x14ac:dyDescent="0.25">
      <c r="A32" s="32">
        <v>1</v>
      </c>
      <c r="B32" s="47">
        <v>42045.837002314816</v>
      </c>
      <c r="C32" s="70">
        <f t="shared" si="0"/>
        <v>0.83700231481634546</v>
      </c>
      <c r="D32" s="47">
        <v>42045.857442129629</v>
      </c>
      <c r="E32" s="70">
        <f t="shared" si="1"/>
        <v>0.85744212962890742</v>
      </c>
      <c r="F32" s="32" t="s">
        <v>22</v>
      </c>
      <c r="G32" s="48" t="s">
        <v>29</v>
      </c>
      <c r="H32" s="32">
        <v>2</v>
      </c>
      <c r="I32" s="32">
        <v>1</v>
      </c>
      <c r="J32" s="32">
        <v>1220</v>
      </c>
      <c r="K32" s="32">
        <v>1</v>
      </c>
      <c r="L32" s="32">
        <v>825</v>
      </c>
      <c r="M32" s="32">
        <v>825</v>
      </c>
      <c r="N32" s="32">
        <v>21</v>
      </c>
      <c r="O32" s="32">
        <v>21</v>
      </c>
      <c r="P32" s="32">
        <v>20</v>
      </c>
      <c r="W32" s="12">
        <f t="shared" si="2"/>
        <v>28.615740737586748</v>
      </c>
      <c r="X32" s="15">
        <f t="shared" si="3"/>
        <v>20</v>
      </c>
      <c r="Z32" s="36" t="str">
        <f t="shared" si="4"/>
        <v>Tuesday</v>
      </c>
      <c r="AD32" s="53">
        <f t="shared" si="6"/>
        <v>0.96851699906665789</v>
      </c>
      <c r="AF32" s="42">
        <f t="shared" si="7"/>
        <v>-29.433333330089226</v>
      </c>
      <c r="AG32" s="45">
        <f t="shared" si="8"/>
        <v>0.13333333333333333</v>
      </c>
      <c r="AI32" t="s">
        <v>46</v>
      </c>
      <c r="AJ32" s="52">
        <f t="shared" si="9"/>
        <v>0.2805671193592158</v>
      </c>
      <c r="AL32" s="72">
        <f t="shared" si="10"/>
        <v>2.0439814812561963E-2</v>
      </c>
      <c r="AP32" s="32">
        <v>2</v>
      </c>
      <c r="AQ32" s="32">
        <v>2700</v>
      </c>
      <c r="AZ32" s="58">
        <f t="shared" si="11"/>
        <v>15</v>
      </c>
      <c r="BC32" s="62">
        <f t="shared" si="12"/>
        <v>29.433333330089226</v>
      </c>
      <c r="BD32" s="62">
        <f t="shared" si="13"/>
        <v>55.907777776708826</v>
      </c>
      <c r="BE32" s="62" t="str">
        <f t="shared" si="14"/>
        <v>Tuesday</v>
      </c>
      <c r="BJ32" s="75">
        <f t="shared" si="15"/>
        <v>0</v>
      </c>
    </row>
    <row r="33" spans="1:62" ht="15.75" x14ac:dyDescent="0.25">
      <c r="A33" s="32">
        <v>2</v>
      </c>
      <c r="B33" s="47">
        <v>42045.909317129626</v>
      </c>
      <c r="C33" s="70">
        <f t="shared" si="0"/>
        <v>0.90931712962628808</v>
      </c>
      <c r="D33" s="47">
        <v>42045.955891203703</v>
      </c>
      <c r="E33" s="70">
        <f t="shared" si="1"/>
        <v>0.95589120370277669</v>
      </c>
      <c r="F33" s="32" t="s">
        <v>15</v>
      </c>
      <c r="G33" s="32" t="s">
        <v>16</v>
      </c>
      <c r="H33" s="32">
        <v>2</v>
      </c>
      <c r="I33" s="32">
        <v>1</v>
      </c>
      <c r="J33" s="32">
        <v>1900</v>
      </c>
      <c r="K33" s="32">
        <v>1</v>
      </c>
      <c r="L33" s="32">
        <v>1400</v>
      </c>
      <c r="M33" s="32">
        <v>1400</v>
      </c>
      <c r="N33" s="32">
        <v>1</v>
      </c>
      <c r="O33" s="32">
        <v>2</v>
      </c>
      <c r="P33" s="32">
        <v>2</v>
      </c>
      <c r="W33" s="12">
        <f t="shared" si="2"/>
        <v>65.20370370708406</v>
      </c>
      <c r="X33" s="15">
        <f t="shared" si="3"/>
        <v>21</v>
      </c>
      <c r="Z33" s="36" t="str">
        <f t="shared" si="4"/>
        <v>Tuesday</v>
      </c>
      <c r="AD33" s="53">
        <f t="shared" si="6"/>
        <v>0.96638950564991899</v>
      </c>
      <c r="AF33" s="42">
        <f t="shared" si="7"/>
        <v>-67.066666670143604</v>
      </c>
      <c r="AG33" s="45">
        <f t="shared" si="8"/>
        <v>7.1428571428571425E-2</v>
      </c>
      <c r="AJ33" s="52">
        <f t="shared" si="9"/>
        <v>0.29749267871098506</v>
      </c>
      <c r="AL33" s="72">
        <f t="shared" si="10"/>
        <v>4.6574074076488614E-2</v>
      </c>
      <c r="AP33" s="32">
        <v>4</v>
      </c>
      <c r="AQ33" s="32">
        <v>3490</v>
      </c>
      <c r="AZ33" s="58">
        <f t="shared" si="11"/>
        <v>14</v>
      </c>
      <c r="BC33" s="62">
        <f t="shared" si="12"/>
        <v>67.066666670143604</v>
      </c>
      <c r="BD33" s="62">
        <f t="shared" si="13"/>
        <v>57.798809522895944</v>
      </c>
      <c r="BE33" s="62" t="str">
        <f t="shared" si="14"/>
        <v>Tuesday</v>
      </c>
      <c r="BJ33" s="75">
        <f t="shared" si="15"/>
        <v>0</v>
      </c>
    </row>
    <row r="34" spans="1:62" ht="15.75" x14ac:dyDescent="0.25">
      <c r="A34" s="32">
        <v>3</v>
      </c>
      <c r="B34" s="47">
        <v>42047.127488425926</v>
      </c>
      <c r="C34" s="70">
        <f t="shared" si="0"/>
        <v>0.12748842592554865</v>
      </c>
      <c r="D34" s="47">
        <v>42047.150231481479</v>
      </c>
      <c r="E34" s="70">
        <f t="shared" si="1"/>
        <v>0.15023148147884058</v>
      </c>
      <c r="F34" s="32" t="s">
        <v>15</v>
      </c>
      <c r="G34" s="48" t="s">
        <v>29</v>
      </c>
      <c r="H34" s="32">
        <v>1</v>
      </c>
      <c r="I34" s="32">
        <v>4</v>
      </c>
      <c r="J34" s="32">
        <v>4850</v>
      </c>
      <c r="K34" s="32">
        <v>4</v>
      </c>
      <c r="L34" s="32">
        <v>750</v>
      </c>
      <c r="M34" s="32">
        <v>1800</v>
      </c>
      <c r="N34" s="32">
        <v>7</v>
      </c>
      <c r="O34" s="32">
        <v>8</v>
      </c>
      <c r="P34" s="32">
        <v>7</v>
      </c>
      <c r="W34" s="12">
        <f t="shared" si="2"/>
        <v>31.840277774608694</v>
      </c>
      <c r="X34" s="15">
        <f t="shared" si="3"/>
        <v>3</v>
      </c>
      <c r="Z34" s="36" t="str">
        <f t="shared" si="4"/>
        <v>Thursday</v>
      </c>
      <c r="AD34" s="53">
        <f t="shared" si="6"/>
        <v>0.96482098305268271</v>
      </c>
      <c r="AF34" s="42">
        <f t="shared" si="7"/>
        <v>-32.749999996740371</v>
      </c>
      <c r="AG34" s="45">
        <f t="shared" si="8"/>
        <v>7.6923076923076927E-2</v>
      </c>
      <c r="AJ34" s="52">
        <f t="shared" si="9"/>
        <v>0.26703376646643812</v>
      </c>
      <c r="AL34" s="72">
        <f t="shared" si="10"/>
        <v>2.2743055553291924E-2</v>
      </c>
      <c r="AP34" s="50">
        <v>3</v>
      </c>
      <c r="AQ34" s="50">
        <v>1765</v>
      </c>
      <c r="AZ34" s="58">
        <f t="shared" si="11"/>
        <v>13</v>
      </c>
      <c r="BC34" s="62">
        <f t="shared" si="12"/>
        <v>32.749999996740371</v>
      </c>
      <c r="BD34" s="62">
        <f t="shared" si="13"/>
        <v>57.085897434646121</v>
      </c>
      <c r="BE34" s="62" t="str">
        <f t="shared" si="14"/>
        <v>Thursday</v>
      </c>
      <c r="BJ34" s="75">
        <f t="shared" si="15"/>
        <v>1050</v>
      </c>
    </row>
    <row r="35" spans="1:62" ht="15.75" x14ac:dyDescent="0.25">
      <c r="A35" s="32">
        <v>1</v>
      </c>
      <c r="B35" s="47">
        <v>42047.15053240741</v>
      </c>
      <c r="C35" s="70">
        <f t="shared" si="0"/>
        <v>0.15053240740962792</v>
      </c>
      <c r="D35" s="47">
        <v>42047.176840277774</v>
      </c>
      <c r="E35" s="70">
        <f t="shared" si="1"/>
        <v>0.17684027777431766</v>
      </c>
      <c r="F35" s="32" t="s">
        <v>18</v>
      </c>
      <c r="G35" s="32" t="s">
        <v>19</v>
      </c>
      <c r="H35" s="32">
        <v>1</v>
      </c>
      <c r="I35" s="32">
        <v>1</v>
      </c>
      <c r="J35" s="32">
        <v>1525</v>
      </c>
      <c r="K35" s="32">
        <v>1</v>
      </c>
      <c r="L35" s="32">
        <v>1525</v>
      </c>
      <c r="M35" s="32">
        <v>1525</v>
      </c>
      <c r="N35" s="32">
        <v>5</v>
      </c>
      <c r="O35" s="32">
        <v>6</v>
      </c>
      <c r="P35" s="32">
        <v>8</v>
      </c>
      <c r="W35" s="12">
        <f t="shared" si="2"/>
        <v>36.831018510565627</v>
      </c>
      <c r="X35" s="15">
        <f t="shared" si="3"/>
        <v>3</v>
      </c>
      <c r="Z35" s="36" t="str">
        <f t="shared" si="4"/>
        <v>Thursday</v>
      </c>
      <c r="AD35" s="53">
        <f t="shared" si="6"/>
        <v>0.96490554670753759</v>
      </c>
      <c r="AF35" s="42">
        <f t="shared" si="7"/>
        <v>-37.883333325153217</v>
      </c>
      <c r="AG35" s="45">
        <f t="shared" si="8"/>
        <v>8.3333333333333329E-2</v>
      </c>
      <c r="AJ35" s="52">
        <f t="shared" si="9"/>
        <v>0.2842970897818865</v>
      </c>
      <c r="AL35" s="72">
        <f t="shared" si="10"/>
        <v>2.6307870364689734E-2</v>
      </c>
      <c r="AP35" s="32">
        <v>1</v>
      </c>
      <c r="AQ35" s="32">
        <v>975</v>
      </c>
      <c r="AZ35" s="58">
        <f t="shared" si="11"/>
        <v>12</v>
      </c>
      <c r="BC35" s="62">
        <f t="shared" si="12"/>
        <v>37.883333325153217</v>
      </c>
      <c r="BD35" s="62">
        <f t="shared" si="13"/>
        <v>59.113888887804933</v>
      </c>
      <c r="BE35" s="62" t="str">
        <f t="shared" si="14"/>
        <v>Thursday</v>
      </c>
      <c r="BJ35" s="75">
        <f t="shared" si="15"/>
        <v>0</v>
      </c>
    </row>
    <row r="36" spans="1:62" ht="15.75" x14ac:dyDescent="0.25">
      <c r="A36" s="32">
        <v>1</v>
      </c>
      <c r="B36" s="47">
        <v>42047.852569444447</v>
      </c>
      <c r="C36" s="70">
        <f t="shared" si="0"/>
        <v>0.85256944444699911</v>
      </c>
      <c r="D36" s="47">
        <v>42047.887835648151</v>
      </c>
      <c r="E36" s="70">
        <f t="shared" si="1"/>
        <v>0.88783564815093996</v>
      </c>
      <c r="F36" s="32" t="s">
        <v>22</v>
      </c>
      <c r="G36" s="48" t="s">
        <v>29</v>
      </c>
      <c r="H36" s="32">
        <v>2</v>
      </c>
      <c r="I36" s="32">
        <v>1</v>
      </c>
      <c r="J36" s="32">
        <v>975</v>
      </c>
      <c r="K36" s="32">
        <v>1</v>
      </c>
      <c r="L36" s="32">
        <v>975</v>
      </c>
      <c r="M36" s="32">
        <v>975</v>
      </c>
      <c r="N36" s="32">
        <v>24</v>
      </c>
      <c r="O36" s="32">
        <v>25</v>
      </c>
      <c r="P36" s="32">
        <v>30</v>
      </c>
      <c r="W36" s="12">
        <f t="shared" si="2"/>
        <v>49.372685185517184</v>
      </c>
      <c r="X36" s="15">
        <f t="shared" si="3"/>
        <v>20</v>
      </c>
      <c r="Z36" s="36" t="str">
        <f t="shared" si="4"/>
        <v>Thursday</v>
      </c>
      <c r="AD36" s="53">
        <f t="shared" si="6"/>
        <v>0.9600892541967686</v>
      </c>
      <c r="AF36" s="42">
        <f t="shared" si="7"/>
        <v>-50.783333333674818</v>
      </c>
      <c r="AG36" s="45">
        <f t="shared" si="8"/>
        <v>9.0909090909090912E-2</v>
      </c>
      <c r="AJ36" s="52">
        <f t="shared" si="9"/>
        <v>0.25456369650052857</v>
      </c>
      <c r="AL36" s="72">
        <f t="shared" si="10"/>
        <v>3.5266203703940846E-2</v>
      </c>
      <c r="AP36" s="50">
        <v>3</v>
      </c>
      <c r="AQ36" s="50">
        <v>1425</v>
      </c>
      <c r="AZ36" s="58">
        <f t="shared" si="11"/>
        <v>11</v>
      </c>
      <c r="BC36" s="62">
        <f t="shared" si="12"/>
        <v>50.783333333674818</v>
      </c>
      <c r="BD36" s="62">
        <f t="shared" si="13"/>
        <v>61.043939393500544</v>
      </c>
      <c r="BE36" s="62" t="str">
        <f t="shared" si="14"/>
        <v>Thursday</v>
      </c>
      <c r="BJ36" s="75">
        <f t="shared" si="15"/>
        <v>0</v>
      </c>
    </row>
    <row r="37" spans="1:62" ht="15.75" x14ac:dyDescent="0.25">
      <c r="A37" s="32">
        <v>1</v>
      </c>
      <c r="B37" s="47">
        <v>42048.043032407404</v>
      </c>
      <c r="C37" s="70">
        <f t="shared" si="0"/>
        <v>4.3032407404098194E-2</v>
      </c>
      <c r="D37" s="47">
        <v>42048.069548611114</v>
      </c>
      <c r="E37" s="70">
        <f t="shared" si="1"/>
        <v>6.9548611114441883E-2</v>
      </c>
      <c r="F37" s="32" t="s">
        <v>21</v>
      </c>
      <c r="G37" s="32" t="s">
        <v>19</v>
      </c>
      <c r="H37" s="32">
        <v>1</v>
      </c>
      <c r="I37" s="32">
        <v>3</v>
      </c>
      <c r="J37" s="32">
        <v>3800</v>
      </c>
      <c r="K37" s="32">
        <v>3</v>
      </c>
      <c r="L37" s="32">
        <v>700</v>
      </c>
      <c r="M37" s="32">
        <v>1600</v>
      </c>
      <c r="N37" s="32">
        <v>16</v>
      </c>
      <c r="O37" s="32">
        <v>9</v>
      </c>
      <c r="P37" s="32">
        <v>7</v>
      </c>
      <c r="W37" s="12">
        <f t="shared" si="2"/>
        <v>37.122685194481164</v>
      </c>
      <c r="X37" s="15">
        <f t="shared" si="3"/>
        <v>1</v>
      </c>
      <c r="Z37" s="36" t="str">
        <f t="shared" si="4"/>
        <v>Friday</v>
      </c>
      <c r="AD37" s="53">
        <f t="shared" si="6"/>
        <v>0.95547152941146118</v>
      </c>
      <c r="AF37" s="42">
        <f t="shared" si="7"/>
        <v>-38.183333342894912</v>
      </c>
      <c r="AG37" s="45">
        <f t="shared" si="8"/>
        <v>0.1</v>
      </c>
      <c r="AJ37" s="52">
        <f t="shared" si="9"/>
        <v>0.28931518542691936</v>
      </c>
      <c r="AL37" s="72">
        <f t="shared" si="10"/>
        <v>2.6516203710343689E-2</v>
      </c>
      <c r="AP37" s="32">
        <v>1</v>
      </c>
      <c r="AQ37" s="32">
        <v>1220</v>
      </c>
      <c r="AZ37" s="58">
        <f t="shared" si="11"/>
        <v>10</v>
      </c>
      <c r="BC37" s="62">
        <f t="shared" si="12"/>
        <v>38.183333342894912</v>
      </c>
      <c r="BD37" s="62">
        <f t="shared" si="13"/>
        <v>62.069999999483116</v>
      </c>
      <c r="BE37" s="62" t="str">
        <f t="shared" si="14"/>
        <v>Friday</v>
      </c>
      <c r="BJ37" s="75">
        <f t="shared" si="15"/>
        <v>900</v>
      </c>
    </row>
    <row r="38" spans="1:62" ht="15.75" x14ac:dyDescent="0.25">
      <c r="A38" s="32">
        <v>4</v>
      </c>
      <c r="B38" s="47">
        <v>42049.127858796295</v>
      </c>
      <c r="C38" s="70">
        <f t="shared" si="0"/>
        <v>0.12785879629518604</v>
      </c>
      <c r="D38" s="47">
        <v>42049.184317129628</v>
      </c>
      <c r="E38" s="70">
        <f t="shared" si="1"/>
        <v>0.18431712962774327</v>
      </c>
      <c r="F38" s="32" t="s">
        <v>27</v>
      </c>
      <c r="G38" s="32" t="s">
        <v>19</v>
      </c>
      <c r="H38" s="32">
        <v>1</v>
      </c>
      <c r="I38" s="32">
        <v>5</v>
      </c>
      <c r="J38" s="32">
        <v>5400</v>
      </c>
      <c r="K38" s="32">
        <v>3</v>
      </c>
      <c r="L38" s="32">
        <v>600</v>
      </c>
      <c r="M38" s="32">
        <v>2200</v>
      </c>
      <c r="N38" s="32">
        <v>130</v>
      </c>
      <c r="O38" s="32">
        <v>129</v>
      </c>
      <c r="P38" s="32">
        <v>230</v>
      </c>
      <c r="W38" s="12">
        <f t="shared" si="2"/>
        <v>79.041666665580124</v>
      </c>
      <c r="X38" s="15">
        <f t="shared" si="3"/>
        <v>3</v>
      </c>
      <c r="Z38" s="36" t="str">
        <f t="shared" si="4"/>
        <v>Saturday</v>
      </c>
      <c r="AD38" s="53">
        <f t="shared" si="6"/>
        <v>0.95568404043689348</v>
      </c>
      <c r="AF38" s="42">
        <f t="shared" si="7"/>
        <v>-81.299999998882413</v>
      </c>
      <c r="AG38" s="45">
        <f t="shared" si="8"/>
        <v>0.1111111111111111</v>
      </c>
      <c r="AJ38" s="52">
        <f t="shared" si="9"/>
        <v>0.27917556796036963</v>
      </c>
      <c r="AL38" s="72">
        <f t="shared" si="10"/>
        <v>5.6458333332557231E-2</v>
      </c>
      <c r="AP38" s="32">
        <v>2</v>
      </c>
      <c r="AQ38" s="32">
        <v>1750</v>
      </c>
      <c r="AZ38" s="58">
        <f t="shared" si="11"/>
        <v>9</v>
      </c>
      <c r="BC38" s="62">
        <f t="shared" si="12"/>
        <v>81.299999998882413</v>
      </c>
      <c r="BD38" s="62">
        <f t="shared" si="13"/>
        <v>64.724074072437361</v>
      </c>
      <c r="BE38" s="62" t="str">
        <f t="shared" si="14"/>
        <v>Saturday</v>
      </c>
      <c r="BJ38" s="75">
        <f t="shared" si="15"/>
        <v>1600</v>
      </c>
    </row>
    <row r="39" spans="1:62" ht="15.75" x14ac:dyDescent="0.25">
      <c r="A39" s="32">
        <v>1</v>
      </c>
      <c r="B39" s="47">
        <v>42050.059953703705</v>
      </c>
      <c r="C39" s="70">
        <f t="shared" si="0"/>
        <v>5.9953703705104999E-2</v>
      </c>
      <c r="D39" s="47">
        <v>42050.094525462962</v>
      </c>
      <c r="E39" s="70">
        <f t="shared" si="1"/>
        <v>9.452546296233777E-2</v>
      </c>
      <c r="F39" s="32" t="s">
        <v>21</v>
      </c>
      <c r="G39" s="32" t="s">
        <v>19</v>
      </c>
      <c r="H39" s="32">
        <v>1</v>
      </c>
      <c r="I39" s="32">
        <v>2</v>
      </c>
      <c r="J39" s="32">
        <v>2800</v>
      </c>
      <c r="K39" s="32">
        <v>2</v>
      </c>
      <c r="L39" s="32">
        <v>1200</v>
      </c>
      <c r="M39" s="32">
        <v>1600</v>
      </c>
      <c r="N39" s="32">
        <v>21</v>
      </c>
      <c r="O39" s="32">
        <v>17</v>
      </c>
      <c r="P39" s="32">
        <v>16</v>
      </c>
      <c r="W39" s="12">
        <f t="shared" si="2"/>
        <v>48.400462960125878</v>
      </c>
      <c r="X39" s="15">
        <f t="shared" si="3"/>
        <v>1</v>
      </c>
      <c r="Z39" s="36" t="str">
        <f t="shared" si="4"/>
        <v>Sunday</v>
      </c>
      <c r="AD39" s="53">
        <f t="shared" si="6"/>
        <v>0.95343956810061503</v>
      </c>
      <c r="AF39" s="42">
        <f t="shared" si="7"/>
        <v>-49.783333330415189</v>
      </c>
      <c r="AG39" s="45">
        <f t="shared" si="8"/>
        <v>0.125</v>
      </c>
      <c r="AJ39" s="52">
        <f t="shared" si="9"/>
        <v>0.14759562160166309</v>
      </c>
      <c r="AL39" s="72">
        <f t="shared" si="10"/>
        <v>3.457175925723277E-2</v>
      </c>
      <c r="AP39" s="32">
        <v>8</v>
      </c>
      <c r="AQ39" s="32">
        <v>7870</v>
      </c>
      <c r="AZ39" s="58">
        <f t="shared" si="11"/>
        <v>8</v>
      </c>
      <c r="BC39" s="62">
        <f t="shared" si="12"/>
        <v>49.783333330415189</v>
      </c>
      <c r="BD39" s="62">
        <f t="shared" si="13"/>
        <v>62.652083331631729</v>
      </c>
      <c r="BE39" s="62" t="str">
        <f t="shared" si="14"/>
        <v>Sunday</v>
      </c>
      <c r="BJ39" s="75">
        <f t="shared" si="15"/>
        <v>400</v>
      </c>
    </row>
    <row r="40" spans="1:62" ht="15.75" x14ac:dyDescent="0.25">
      <c r="A40" s="32">
        <v>3</v>
      </c>
      <c r="B40" s="47">
        <v>42050.111527777779</v>
      </c>
      <c r="C40" s="70">
        <f t="shared" si="0"/>
        <v>0.11152777777897427</v>
      </c>
      <c r="D40" s="47">
        <v>42050.139189814814</v>
      </c>
      <c r="E40" s="70">
        <f t="shared" si="1"/>
        <v>0.13918981481401715</v>
      </c>
      <c r="F40" s="32" t="s">
        <v>15</v>
      </c>
      <c r="G40" s="48" t="s">
        <v>29</v>
      </c>
      <c r="H40" s="32">
        <v>1</v>
      </c>
      <c r="I40" s="32">
        <v>3</v>
      </c>
      <c r="J40" s="32">
        <v>3900</v>
      </c>
      <c r="K40" s="32">
        <v>3</v>
      </c>
      <c r="L40" s="32">
        <v>1100</v>
      </c>
      <c r="M40" s="32">
        <v>1600</v>
      </c>
      <c r="N40" s="32">
        <v>6</v>
      </c>
      <c r="O40" s="32">
        <v>6</v>
      </c>
      <c r="P40" s="32">
        <v>9</v>
      </c>
      <c r="W40" s="12">
        <f t="shared" si="2"/>
        <v>38.72685184906004</v>
      </c>
      <c r="X40" s="15">
        <f t="shared" si="3"/>
        <v>2</v>
      </c>
      <c r="Z40" s="36" t="str">
        <f t="shared" si="4"/>
        <v>Sunday</v>
      </c>
      <c r="AD40" s="53">
        <f t="shared" si="6"/>
        <v>0.95009263531798382</v>
      </c>
      <c r="AF40" s="42">
        <f t="shared" si="7"/>
        <v>-39.833333330461755</v>
      </c>
      <c r="AG40" s="45">
        <f t="shared" si="8"/>
        <v>0.14285714285714285</v>
      </c>
      <c r="AJ40" s="52">
        <f t="shared" si="9"/>
        <v>0.28117709647147671</v>
      </c>
      <c r="AL40" s="72">
        <f t="shared" si="10"/>
        <v>2.7662037035042886E-2</v>
      </c>
      <c r="AP40" s="32">
        <v>2</v>
      </c>
      <c r="AQ40" s="32">
        <v>1725</v>
      </c>
      <c r="AZ40" s="58">
        <f t="shared" si="11"/>
        <v>7</v>
      </c>
      <c r="BC40" s="62">
        <f t="shared" si="12"/>
        <v>39.833333330461755</v>
      </c>
      <c r="BD40" s="62">
        <f t="shared" si="13"/>
        <v>64.490476188948378</v>
      </c>
      <c r="BE40" s="62" t="str">
        <f t="shared" si="14"/>
        <v>Sunday</v>
      </c>
      <c r="BJ40" s="75">
        <f t="shared" si="15"/>
        <v>500</v>
      </c>
    </row>
    <row r="41" spans="1:62" ht="15.75" x14ac:dyDescent="0.25">
      <c r="A41" s="32">
        <v>2</v>
      </c>
      <c r="B41" s="47">
        <v>42051.008043981485</v>
      </c>
      <c r="C41" s="70">
        <f t="shared" si="0"/>
        <v>8.0439814846613444E-3</v>
      </c>
      <c r="D41" s="47">
        <v>42051.026400462964</v>
      </c>
      <c r="E41" s="70">
        <f t="shared" si="1"/>
        <v>2.6400462964375038E-2</v>
      </c>
      <c r="F41" s="32" t="s">
        <v>15</v>
      </c>
      <c r="G41" s="32" t="s">
        <v>17</v>
      </c>
      <c r="H41" s="32">
        <v>3</v>
      </c>
      <c r="I41" s="32">
        <v>4</v>
      </c>
      <c r="J41" s="32">
        <v>4771</v>
      </c>
      <c r="K41" s="32">
        <v>3</v>
      </c>
      <c r="L41" s="32">
        <v>820</v>
      </c>
      <c r="M41" s="32">
        <v>1604</v>
      </c>
      <c r="N41" s="32">
        <v>8</v>
      </c>
      <c r="O41" s="32">
        <v>6</v>
      </c>
      <c r="P41" s="32">
        <v>18</v>
      </c>
      <c r="W41" s="12">
        <f t="shared" si="2"/>
        <v>25.699074071599171</v>
      </c>
      <c r="X41" s="15">
        <f t="shared" si="3"/>
        <v>0</v>
      </c>
      <c r="Z41" s="36" t="str">
        <f t="shared" si="4"/>
        <v>Monday</v>
      </c>
      <c r="AD41" s="53">
        <f t="shared" si="6"/>
        <v>0.95178107805977485</v>
      </c>
      <c r="AF41" s="42">
        <f t="shared" si="7"/>
        <v>-26.433333330787718</v>
      </c>
      <c r="AG41" s="45">
        <f t="shared" si="8"/>
        <v>0.16666666666666666</v>
      </c>
      <c r="AJ41" s="52">
        <f t="shared" si="9"/>
        <v>0.25723301699183415</v>
      </c>
      <c r="AL41" s="72">
        <f t="shared" si="10"/>
        <v>1.8356481479713693E-2</v>
      </c>
      <c r="AP41" s="32">
        <v>3</v>
      </c>
      <c r="AQ41" s="32">
        <v>2015</v>
      </c>
      <c r="AZ41" s="58">
        <f t="shared" si="11"/>
        <v>6</v>
      </c>
      <c r="BC41" s="62">
        <f t="shared" si="12"/>
        <v>26.433333330787718</v>
      </c>
      <c r="BD41" s="62">
        <f t="shared" si="13"/>
        <v>68.599999998696148</v>
      </c>
      <c r="BE41" s="62" t="str">
        <f t="shared" si="14"/>
        <v>Monday</v>
      </c>
      <c r="BJ41" s="75">
        <f t="shared" si="15"/>
        <v>784</v>
      </c>
    </row>
    <row r="42" spans="1:62" ht="15.75" x14ac:dyDescent="0.25">
      <c r="A42" s="32">
        <v>1</v>
      </c>
      <c r="B42" s="47">
        <v>42051.09814814815</v>
      </c>
      <c r="C42" s="70">
        <f t="shared" si="0"/>
        <v>9.8148148150357883E-2</v>
      </c>
      <c r="D42" s="47">
        <v>42051.162662037037</v>
      </c>
      <c r="E42" s="70">
        <f t="shared" si="1"/>
        <v>0.16266203703708015</v>
      </c>
      <c r="F42" s="32" t="s">
        <v>21</v>
      </c>
      <c r="G42" s="32" t="s">
        <v>19</v>
      </c>
      <c r="H42" s="32">
        <v>1</v>
      </c>
      <c r="I42" s="32">
        <v>3</v>
      </c>
      <c r="J42" s="32">
        <v>3400</v>
      </c>
      <c r="K42" s="32">
        <v>3</v>
      </c>
      <c r="L42" s="32">
        <v>1400</v>
      </c>
      <c r="M42" s="32">
        <v>2100</v>
      </c>
      <c r="N42" s="32">
        <v>22</v>
      </c>
      <c r="O42" s="32">
        <v>21</v>
      </c>
      <c r="P42" s="32">
        <v>39</v>
      </c>
      <c r="W42" s="12">
        <f t="shared" si="2"/>
        <v>90.319444441411179</v>
      </c>
      <c r="X42" s="15">
        <f t="shared" si="3"/>
        <v>2</v>
      </c>
      <c r="Z42" s="36" t="str">
        <f t="shared" si="4"/>
        <v>Monday</v>
      </c>
      <c r="AD42" s="53">
        <f t="shared" si="6"/>
        <v>0.95300212893591296</v>
      </c>
      <c r="AF42" s="42">
        <f t="shared" si="7"/>
        <v>-92.899999996880069</v>
      </c>
      <c r="AG42" s="45">
        <f t="shared" si="8"/>
        <v>0</v>
      </c>
      <c r="AJ42" s="52">
        <f t="shared" si="9"/>
        <v>0.27653549257951066</v>
      </c>
      <c r="AL42" s="72">
        <f t="shared" si="10"/>
        <v>6.451388888672227E-2</v>
      </c>
      <c r="AP42" s="32">
        <v>1</v>
      </c>
      <c r="AQ42" s="32">
        <v>1220</v>
      </c>
      <c r="AZ42" s="58">
        <f t="shared" si="11"/>
        <v>5</v>
      </c>
      <c r="BC42" s="62">
        <f t="shared" si="12"/>
        <v>92.899999996880069</v>
      </c>
      <c r="BD42" s="62">
        <f t="shared" si="13"/>
        <v>77.033333332277834</v>
      </c>
      <c r="BE42" s="62" t="str">
        <f t="shared" si="14"/>
        <v>Monday</v>
      </c>
      <c r="BJ42" s="75">
        <f t="shared" si="15"/>
        <v>700</v>
      </c>
    </row>
    <row r="43" spans="1:62" ht="15.75" x14ac:dyDescent="0.25">
      <c r="A43" s="32">
        <v>3</v>
      </c>
      <c r="B43" s="47">
        <v>42051.180243055554</v>
      </c>
      <c r="C43" s="70">
        <f t="shared" si="0"/>
        <v>0.18024305555445608</v>
      </c>
      <c r="D43" s="47">
        <v>42051.273611111108</v>
      </c>
      <c r="E43" s="70">
        <f t="shared" si="1"/>
        <v>0.27361111110803904</v>
      </c>
      <c r="F43" s="32" t="s">
        <v>15</v>
      </c>
      <c r="G43" s="48" t="s">
        <v>29</v>
      </c>
      <c r="H43" s="32">
        <v>1</v>
      </c>
      <c r="I43" s="32">
        <v>2</v>
      </c>
      <c r="J43" s="32">
        <v>2200</v>
      </c>
      <c r="K43" s="32">
        <v>2</v>
      </c>
      <c r="L43" s="32">
        <v>600</v>
      </c>
      <c r="M43" s="32">
        <v>1600</v>
      </c>
      <c r="N43" s="32">
        <v>3</v>
      </c>
      <c r="O43" s="32">
        <v>3</v>
      </c>
      <c r="P43" s="32">
        <v>4</v>
      </c>
      <c r="W43" s="12">
        <f t="shared" si="2"/>
        <v>130.71527777501615</v>
      </c>
      <c r="X43" s="15">
        <f t="shared" si="3"/>
        <v>4</v>
      </c>
      <c r="Z43" s="36" t="str">
        <f t="shared" si="4"/>
        <v>Monday</v>
      </c>
      <c r="AD43" s="53">
        <f t="shared" si="6"/>
        <v>0.95141904173364833</v>
      </c>
      <c r="AF43" s="42">
        <f t="shared" si="7"/>
        <v>-134.44999999715947</v>
      </c>
      <c r="AG43" s="45">
        <f t="shared" si="8"/>
        <v>0</v>
      </c>
      <c r="AJ43" s="52">
        <f t="shared" si="9"/>
        <v>0.50516100202717051</v>
      </c>
      <c r="AL43" s="72">
        <f t="shared" si="10"/>
        <v>9.3368055553582963E-2</v>
      </c>
      <c r="AP43" s="32">
        <v>2</v>
      </c>
      <c r="AQ43" s="32">
        <v>595</v>
      </c>
      <c r="AZ43" s="58">
        <f t="shared" si="11"/>
        <v>4</v>
      </c>
      <c r="BC43" s="62">
        <f t="shared" si="12"/>
        <v>134.44999999715947</v>
      </c>
      <c r="BD43" s="62">
        <f t="shared" si="13"/>
        <v>73.066666666127276</v>
      </c>
      <c r="BE43" s="62" t="str">
        <f t="shared" si="14"/>
        <v>Monday</v>
      </c>
      <c r="BJ43" s="75">
        <f t="shared" si="15"/>
        <v>1000</v>
      </c>
    </row>
    <row r="44" spans="1:62" ht="15.75" x14ac:dyDescent="0.25">
      <c r="A44" s="32">
        <v>1</v>
      </c>
      <c r="B44" s="47">
        <v>42051.80505787037</v>
      </c>
      <c r="C44" s="70">
        <f t="shared" si="0"/>
        <v>0.80505787036963739</v>
      </c>
      <c r="D44" s="47">
        <v>42051.844942129632</v>
      </c>
      <c r="E44" s="70">
        <f t="shared" si="1"/>
        <v>0.84494212963181781</v>
      </c>
      <c r="F44" s="32" t="s">
        <v>22</v>
      </c>
      <c r="G44" s="48" t="s">
        <v>29</v>
      </c>
      <c r="H44" s="32">
        <v>2</v>
      </c>
      <c r="I44" s="32">
        <v>8</v>
      </c>
      <c r="J44" s="32">
        <v>7870</v>
      </c>
      <c r="K44" s="32">
        <v>6</v>
      </c>
      <c r="L44" s="32">
        <v>825</v>
      </c>
      <c r="M44" s="32">
        <v>895</v>
      </c>
      <c r="N44" s="32">
        <v>12</v>
      </c>
      <c r="O44" s="32">
        <v>11</v>
      </c>
      <c r="P44" s="32">
        <v>9</v>
      </c>
      <c r="W44" s="12">
        <f t="shared" si="2"/>
        <v>55.83796296705259</v>
      </c>
      <c r="X44" s="15">
        <f t="shared" si="3"/>
        <v>19</v>
      </c>
      <c r="Z44" s="36" t="str">
        <f t="shared" si="4"/>
        <v>Monday</v>
      </c>
      <c r="AD44" s="53">
        <f t="shared" si="6"/>
        <v>0.93875363320081395</v>
      </c>
      <c r="AF44" s="42">
        <f t="shared" si="7"/>
        <v>-57.433333337539807</v>
      </c>
      <c r="AG44" s="45">
        <f t="shared" si="8"/>
        <v>0</v>
      </c>
      <c r="AJ44" s="52">
        <f t="shared" si="9"/>
        <v>0.35921060405354976</v>
      </c>
      <c r="AL44" s="72">
        <f t="shared" si="10"/>
        <v>3.9884259262180422E-2</v>
      </c>
      <c r="AP44" s="32">
        <v>4</v>
      </c>
      <c r="AQ44" s="32">
        <v>5500</v>
      </c>
      <c r="AZ44" s="58">
        <f t="shared" si="11"/>
        <v>3</v>
      </c>
      <c r="BC44" s="62">
        <f t="shared" si="12"/>
        <v>57.433333337539807</v>
      </c>
      <c r="BD44" s="62">
        <f t="shared" si="13"/>
        <v>52.605555555783212</v>
      </c>
      <c r="BE44" s="62" t="str">
        <f t="shared" si="14"/>
        <v>Monday</v>
      </c>
      <c r="BJ44" s="75">
        <f t="shared" si="15"/>
        <v>70</v>
      </c>
    </row>
    <row r="45" spans="1:62" ht="15.75" x14ac:dyDescent="0.25">
      <c r="A45" s="32">
        <v>1</v>
      </c>
      <c r="B45" s="47">
        <v>42052.134259259263</v>
      </c>
      <c r="C45" s="70">
        <f t="shared" si="0"/>
        <v>0.1342592592627625</v>
      </c>
      <c r="D45" s="47">
        <v>42052.167025462964</v>
      </c>
      <c r="E45" s="70">
        <f t="shared" si="1"/>
        <v>0.16702546296437504</v>
      </c>
      <c r="F45" s="32" t="s">
        <v>21</v>
      </c>
      <c r="G45" s="32" t="s">
        <v>19</v>
      </c>
      <c r="H45" s="32">
        <v>1</v>
      </c>
      <c r="I45" s="32">
        <v>4</v>
      </c>
      <c r="J45" s="32">
        <v>5800</v>
      </c>
      <c r="K45" s="32">
        <v>4</v>
      </c>
      <c r="L45" s="32">
        <v>700</v>
      </c>
      <c r="M45" s="32">
        <v>2000</v>
      </c>
      <c r="N45" s="32">
        <v>19</v>
      </c>
      <c r="O45" s="32">
        <v>19</v>
      </c>
      <c r="P45" s="32">
        <v>30</v>
      </c>
      <c r="W45" s="12">
        <f t="shared" si="2"/>
        <v>45.872685182257555</v>
      </c>
      <c r="X45" s="15">
        <f t="shared" si="3"/>
        <v>3</v>
      </c>
      <c r="Z45" s="36" t="str">
        <f t="shared" si="4"/>
        <v>Tuesday</v>
      </c>
      <c r="AG45" s="45">
        <f t="shared" si="8"/>
        <v>0</v>
      </c>
      <c r="AJ45" s="52">
        <f t="shared" si="9"/>
        <v>1</v>
      </c>
      <c r="AL45" s="72">
        <f t="shared" si="10"/>
        <v>3.276620370161254E-2</v>
      </c>
      <c r="AP45" s="32">
        <v>5</v>
      </c>
      <c r="AQ45" s="32">
        <v>5400</v>
      </c>
      <c r="AZ45" s="58">
        <f t="shared" si="11"/>
        <v>2</v>
      </c>
      <c r="BC45" s="62">
        <f t="shared" si="12"/>
        <v>47.183333330322057</v>
      </c>
      <c r="BD45" s="62">
        <f t="shared" si="13"/>
        <v>50.191666664904915</v>
      </c>
      <c r="BE45" s="62" t="str">
        <f t="shared" si="14"/>
        <v>Tuesday</v>
      </c>
      <c r="BJ45" s="75">
        <f t="shared" si="15"/>
        <v>1300</v>
      </c>
    </row>
    <row r="46" spans="1:62" ht="15.75" x14ac:dyDescent="0.25">
      <c r="A46" s="32">
        <v>3</v>
      </c>
      <c r="B46" s="47">
        <v>42053.052604166667</v>
      </c>
      <c r="C46" s="70">
        <f t="shared" si="0"/>
        <v>5.2604166667151731E-2</v>
      </c>
      <c r="D46" s="47">
        <v>42053.089548611111</v>
      </c>
      <c r="E46" s="70">
        <f t="shared" si="1"/>
        <v>8.9548611111240461E-2</v>
      </c>
      <c r="F46" s="32" t="s">
        <v>15</v>
      </c>
      <c r="G46" s="48" t="s">
        <v>29</v>
      </c>
      <c r="H46" s="32">
        <v>1</v>
      </c>
      <c r="I46" s="32">
        <v>2</v>
      </c>
      <c r="J46" s="32">
        <v>2100</v>
      </c>
      <c r="K46" s="32">
        <v>2</v>
      </c>
      <c r="L46" s="32">
        <v>700</v>
      </c>
      <c r="M46" s="32">
        <v>1200</v>
      </c>
      <c r="N46" s="32">
        <v>2</v>
      </c>
      <c r="O46" s="32">
        <v>2</v>
      </c>
      <c r="P46" s="32">
        <v>2</v>
      </c>
      <c r="W46" s="12">
        <f t="shared" si="2"/>
        <v>51.722222221724223</v>
      </c>
      <c r="X46" s="15">
        <f t="shared" si="3"/>
        <v>1</v>
      </c>
      <c r="Z46" s="36" t="str">
        <f t="shared" si="4"/>
        <v>Wednesday</v>
      </c>
      <c r="AP46" s="32">
        <v>4</v>
      </c>
      <c r="AQ46" s="32">
        <v>7104</v>
      </c>
      <c r="AZ46" s="58">
        <f t="shared" si="11"/>
        <v>1</v>
      </c>
      <c r="BC46" s="62">
        <f t="shared" si="12"/>
        <v>53.199999999487773</v>
      </c>
      <c r="BD46" s="62">
        <f t="shared" si="13"/>
        <v>53.199999999487773</v>
      </c>
      <c r="BE46" s="62" t="str">
        <f t="shared" si="14"/>
        <v>Wednesday</v>
      </c>
      <c r="BJ46" s="75">
        <f t="shared" si="15"/>
        <v>500</v>
      </c>
    </row>
    <row r="47" spans="1:62" x14ac:dyDescent="0.25">
      <c r="BJ47" s="75">
        <f t="shared" si="15"/>
        <v>0</v>
      </c>
    </row>
    <row r="48" spans="1:62" x14ac:dyDescent="0.25">
      <c r="BJ48" s="75">
        <f t="shared" si="15"/>
        <v>0</v>
      </c>
    </row>
  </sheetData>
  <autoFilter ref="A1:P46" xr:uid="{A42F3CAD-B0EA-4486-812A-973E990FA899}">
    <sortState xmlns:xlrd2="http://schemas.microsoft.com/office/spreadsheetml/2017/richdata2" ref="A2:P46">
      <sortCondition ref="B1"/>
    </sortState>
  </autoFilter>
  <pageMargins left="0.7" right="0.7" top="0.75" bottom="0.75" header="0.3" footer="0.3"/>
  <ignoredErrors>
    <ignoredError sqref="AJ3:AJ45 AZ40 AZ37 BH3:BH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3563-E74C-4BD8-ADC6-759F42EE67D5}">
  <sheetPr>
    <tabColor theme="5" tint="0.39997558519241921"/>
  </sheetPr>
  <dimension ref="B2:P205"/>
  <sheetViews>
    <sheetView topLeftCell="A185" workbookViewId="0">
      <selection activeCell="D11" sqref="D11"/>
    </sheetView>
  </sheetViews>
  <sheetFormatPr defaultRowHeight="15" x14ac:dyDescent="0.25"/>
  <cols>
    <col min="2" max="2" width="13.140625" bestFit="1" customWidth="1"/>
    <col min="3" max="3" width="34.7109375" bestFit="1" customWidth="1"/>
    <col min="4" max="4" width="32.85546875" bestFit="1" customWidth="1"/>
    <col min="5" max="5" width="25" bestFit="1" customWidth="1"/>
    <col min="6" max="6" width="11" bestFit="1" customWidth="1"/>
    <col min="7" max="7" width="17.28515625" bestFit="1" customWidth="1"/>
  </cols>
  <sheetData>
    <row r="2" spans="2:16" x14ac:dyDescent="0.25">
      <c r="B2" s="10" t="s">
        <v>30</v>
      </c>
      <c r="C2" s="10"/>
      <c r="D2" s="10"/>
      <c r="E2" s="10"/>
      <c r="F2" s="10"/>
      <c r="G2" s="10"/>
    </row>
    <row r="3" spans="2:16" x14ac:dyDescent="0.25">
      <c r="F3" s="16"/>
      <c r="G3" s="16"/>
    </row>
    <row r="4" spans="2:16" x14ac:dyDescent="0.25">
      <c r="B4" s="65" t="s">
        <v>32</v>
      </c>
      <c r="C4" s="66" t="s">
        <v>34</v>
      </c>
      <c r="E4" s="13"/>
      <c r="F4" s="19" t="s">
        <v>35</v>
      </c>
      <c r="G4" s="20"/>
      <c r="H4" s="17"/>
      <c r="I4" s="23"/>
      <c r="J4" s="23"/>
      <c r="K4" s="23"/>
      <c r="L4" s="23"/>
      <c r="M4" s="23"/>
      <c r="N4" s="23"/>
      <c r="O4" s="23"/>
      <c r="P4" s="23"/>
    </row>
    <row r="5" spans="2:16" x14ac:dyDescent="0.25">
      <c r="B5" s="66">
        <v>1</v>
      </c>
      <c r="C5" s="67">
        <v>27</v>
      </c>
      <c r="E5" s="13"/>
      <c r="F5" s="21"/>
      <c r="G5" s="22"/>
      <c r="I5" s="23"/>
      <c r="J5" s="23"/>
      <c r="K5" s="23"/>
      <c r="L5" s="23"/>
      <c r="M5" s="23"/>
      <c r="N5" s="23"/>
      <c r="O5" s="23"/>
      <c r="P5" s="23"/>
    </row>
    <row r="6" spans="2:16" ht="15.75" x14ac:dyDescent="0.25">
      <c r="B6" s="66">
        <v>2</v>
      </c>
      <c r="C6" s="67">
        <v>3</v>
      </c>
      <c r="F6" s="3" t="s">
        <v>28</v>
      </c>
      <c r="G6" s="3" t="s">
        <v>31</v>
      </c>
      <c r="I6" s="23"/>
      <c r="J6" s="23"/>
      <c r="K6" s="23"/>
      <c r="L6" s="23"/>
      <c r="M6" s="23"/>
      <c r="N6" s="23"/>
      <c r="O6" s="23"/>
      <c r="P6" s="23"/>
    </row>
    <row r="7" spans="2:16" x14ac:dyDescent="0.25">
      <c r="B7" s="66">
        <v>3</v>
      </c>
      <c r="C7" s="67">
        <v>12</v>
      </c>
      <c r="F7" s="31">
        <v>1</v>
      </c>
      <c r="G7" s="31">
        <v>27</v>
      </c>
      <c r="I7" s="23"/>
      <c r="J7" s="23"/>
      <c r="K7" s="23"/>
      <c r="L7" s="23"/>
      <c r="M7" s="23"/>
      <c r="N7" s="23"/>
      <c r="O7" s="23"/>
      <c r="P7" s="23"/>
    </row>
    <row r="8" spans="2:16" x14ac:dyDescent="0.25">
      <c r="B8" s="66">
        <v>4</v>
      </c>
      <c r="C8" s="67">
        <v>3</v>
      </c>
      <c r="F8" s="31">
        <v>2</v>
      </c>
      <c r="G8" s="31">
        <v>3</v>
      </c>
      <c r="I8" s="23"/>
      <c r="J8" s="23"/>
      <c r="K8" s="23"/>
      <c r="L8" s="23"/>
      <c r="M8" s="23"/>
      <c r="N8" s="23"/>
      <c r="O8" s="23"/>
      <c r="P8" s="23"/>
    </row>
    <row r="9" spans="2:16" x14ac:dyDescent="0.25">
      <c r="B9" s="66" t="s">
        <v>33</v>
      </c>
      <c r="C9" s="67">
        <v>45</v>
      </c>
      <c r="F9" s="31">
        <v>3</v>
      </c>
      <c r="G9" s="31">
        <v>12</v>
      </c>
      <c r="I9" s="23"/>
      <c r="J9" s="23"/>
      <c r="K9" s="23"/>
      <c r="L9" s="23"/>
      <c r="M9" s="23"/>
      <c r="N9" s="23"/>
      <c r="O9" s="23"/>
      <c r="P9" s="23"/>
    </row>
    <row r="10" spans="2:16" x14ac:dyDescent="0.25">
      <c r="F10" s="31">
        <v>4</v>
      </c>
      <c r="G10" s="31">
        <v>3</v>
      </c>
      <c r="I10" s="23"/>
      <c r="J10" s="23"/>
      <c r="K10" s="23"/>
      <c r="L10" s="23"/>
      <c r="M10" s="23"/>
      <c r="N10" s="23"/>
      <c r="O10" s="23"/>
      <c r="P10" s="23"/>
    </row>
    <row r="11" spans="2:16" x14ac:dyDescent="0.25">
      <c r="I11" s="23"/>
      <c r="J11" s="23"/>
      <c r="K11" s="23"/>
      <c r="L11" s="23"/>
      <c r="M11" s="23"/>
      <c r="N11" s="23"/>
      <c r="O11" s="23"/>
      <c r="P11" s="23"/>
    </row>
    <row r="15" spans="2:16" x14ac:dyDescent="0.25">
      <c r="B15" s="10" t="s">
        <v>36</v>
      </c>
      <c r="C15" s="10"/>
      <c r="D15" s="10"/>
      <c r="E15" s="10"/>
      <c r="F15" s="10"/>
      <c r="G15" s="10"/>
    </row>
    <row r="19" spans="2:10" x14ac:dyDescent="0.25">
      <c r="B19" s="65" t="s">
        <v>32</v>
      </c>
      <c r="C19" s="66" t="s">
        <v>38</v>
      </c>
    </row>
    <row r="20" spans="2:10" x14ac:dyDescent="0.25">
      <c r="B20" s="66" t="s">
        <v>14</v>
      </c>
      <c r="C20" s="66">
        <v>61.23379628843395</v>
      </c>
    </row>
    <row r="21" spans="2:10" x14ac:dyDescent="0.25">
      <c r="B21" s="66" t="s">
        <v>26</v>
      </c>
      <c r="C21" s="66">
        <v>28.372685186332092</v>
      </c>
      <c r="E21" s="23"/>
      <c r="F21" s="23"/>
      <c r="G21" s="23"/>
      <c r="H21" s="23"/>
      <c r="I21" s="23"/>
      <c r="J21" s="23"/>
    </row>
    <row r="22" spans="2:10" x14ac:dyDescent="0.25">
      <c r="B22" s="66" t="s">
        <v>17</v>
      </c>
      <c r="C22" s="66">
        <v>25.699074071599171</v>
      </c>
      <c r="E22" s="23"/>
      <c r="F22" s="23"/>
      <c r="G22" s="23"/>
      <c r="H22" s="23"/>
      <c r="I22" s="23"/>
      <c r="J22" s="23"/>
    </row>
    <row r="23" spans="2:10" x14ac:dyDescent="0.25">
      <c r="B23" s="66" t="s">
        <v>19</v>
      </c>
      <c r="C23" s="66">
        <v>59.797968106997558</v>
      </c>
      <c r="E23" s="23"/>
      <c r="F23" s="23"/>
      <c r="G23" s="23"/>
      <c r="H23" s="23"/>
      <c r="I23" s="23"/>
      <c r="J23" s="23"/>
    </row>
    <row r="24" spans="2:10" x14ac:dyDescent="0.25">
      <c r="B24" s="66" t="s">
        <v>16</v>
      </c>
      <c r="C24" s="66">
        <v>47.40123456916384</v>
      </c>
      <c r="E24" s="23"/>
      <c r="F24" s="23"/>
      <c r="G24" s="23"/>
      <c r="H24" s="23"/>
      <c r="I24" s="23"/>
      <c r="J24" s="23"/>
    </row>
    <row r="25" spans="2:10" x14ac:dyDescent="0.25">
      <c r="B25" s="66" t="s">
        <v>29</v>
      </c>
      <c r="C25" s="66">
        <v>43.406310915184136</v>
      </c>
      <c r="E25" s="23"/>
      <c r="F25" s="23"/>
      <c r="G25" s="23"/>
      <c r="H25" s="23"/>
      <c r="I25" s="23"/>
      <c r="J25" s="23"/>
    </row>
    <row r="26" spans="2:10" x14ac:dyDescent="0.25">
      <c r="B26" s="66" t="s">
        <v>23</v>
      </c>
      <c r="C26" s="66">
        <v>38.159722219279502</v>
      </c>
      <c r="E26" s="23"/>
      <c r="F26" s="23"/>
      <c r="G26" s="23"/>
      <c r="H26" s="23"/>
      <c r="I26" s="23"/>
      <c r="J26" s="23"/>
    </row>
    <row r="27" spans="2:10" x14ac:dyDescent="0.25">
      <c r="B27" s="66" t="s">
        <v>24</v>
      </c>
      <c r="C27" s="66">
        <v>46.73148148576729</v>
      </c>
    </row>
    <row r="28" spans="2:10" x14ac:dyDescent="0.25">
      <c r="B28" s="66" t="s">
        <v>33</v>
      </c>
      <c r="C28" s="66">
        <v>49.855195472741293</v>
      </c>
    </row>
    <row r="32" spans="2:10" x14ac:dyDescent="0.25">
      <c r="B32" s="10" t="s">
        <v>39</v>
      </c>
      <c r="C32" s="10"/>
      <c r="D32" s="2"/>
      <c r="E32" s="2"/>
    </row>
    <row r="33" spans="2:12" x14ac:dyDescent="0.25">
      <c r="E33" t="s">
        <v>43</v>
      </c>
      <c r="F33" s="18"/>
    </row>
    <row r="35" spans="2:12" x14ac:dyDescent="0.25">
      <c r="B35" s="65" t="s">
        <v>42</v>
      </c>
      <c r="C35" s="66" t="s">
        <v>41</v>
      </c>
      <c r="E35" s="23"/>
      <c r="F35" s="23"/>
      <c r="G35" s="23"/>
      <c r="H35" s="23"/>
      <c r="I35" s="23"/>
      <c r="J35" s="23"/>
      <c r="K35" s="23"/>
      <c r="L35" s="23"/>
    </row>
    <row r="36" spans="2:12" x14ac:dyDescent="0.25">
      <c r="B36" s="66">
        <v>0</v>
      </c>
      <c r="C36" s="66">
        <v>2</v>
      </c>
      <c r="E36" s="23"/>
      <c r="F36" s="23"/>
      <c r="G36" s="23"/>
      <c r="H36" s="23"/>
      <c r="I36" s="23"/>
      <c r="J36" s="23"/>
      <c r="K36" s="23"/>
      <c r="L36" s="23"/>
    </row>
    <row r="37" spans="2:12" x14ac:dyDescent="0.25">
      <c r="B37" s="66">
        <v>1</v>
      </c>
      <c r="C37" s="66">
        <v>8</v>
      </c>
      <c r="E37" s="23"/>
      <c r="F37" s="23"/>
      <c r="G37" s="23"/>
      <c r="H37" s="23"/>
      <c r="I37" s="23"/>
      <c r="J37" s="23"/>
      <c r="K37" s="23"/>
      <c r="L37" s="23"/>
    </row>
    <row r="38" spans="2:12" x14ac:dyDescent="0.25">
      <c r="B38" s="66">
        <v>2</v>
      </c>
      <c r="C38" s="66">
        <v>9</v>
      </c>
      <c r="E38" s="23"/>
      <c r="F38" s="23"/>
      <c r="G38" s="23"/>
      <c r="H38" s="23"/>
      <c r="I38" s="23"/>
      <c r="J38" s="23"/>
      <c r="K38" s="23"/>
      <c r="L38" s="23"/>
    </row>
    <row r="39" spans="2:12" x14ac:dyDescent="0.25">
      <c r="B39" s="66">
        <v>3</v>
      </c>
      <c r="C39" s="66">
        <v>4</v>
      </c>
      <c r="E39" s="23"/>
      <c r="F39" s="23"/>
      <c r="G39" s="23"/>
      <c r="H39" s="23"/>
      <c r="I39" s="23"/>
      <c r="J39" s="23"/>
      <c r="K39" s="23"/>
      <c r="L39" s="23"/>
    </row>
    <row r="40" spans="2:12" x14ac:dyDescent="0.25">
      <c r="B40" s="66">
        <v>4</v>
      </c>
      <c r="C40" s="66">
        <v>3</v>
      </c>
      <c r="E40" s="23"/>
      <c r="F40" s="23"/>
      <c r="G40" s="23"/>
      <c r="H40" s="23"/>
      <c r="I40" s="23"/>
      <c r="J40" s="23"/>
      <c r="K40" s="23"/>
      <c r="L40" s="23"/>
    </row>
    <row r="41" spans="2:12" x14ac:dyDescent="0.25">
      <c r="B41" s="66">
        <v>5</v>
      </c>
      <c r="C41" s="66">
        <v>1</v>
      </c>
      <c r="E41" s="23"/>
      <c r="F41" s="23"/>
      <c r="G41" s="23"/>
      <c r="H41" s="23"/>
      <c r="I41" s="23"/>
      <c r="J41" s="23"/>
      <c r="K41" s="23"/>
      <c r="L41" s="23"/>
    </row>
    <row r="42" spans="2:12" x14ac:dyDescent="0.25">
      <c r="B42" s="66">
        <v>18</v>
      </c>
      <c r="C42" s="66">
        <v>1</v>
      </c>
      <c r="E42" s="23"/>
      <c r="F42" s="23"/>
      <c r="G42" s="23"/>
      <c r="H42" s="23"/>
      <c r="I42" s="23"/>
      <c r="J42" s="23"/>
      <c r="K42" s="23"/>
      <c r="L42" s="23"/>
    </row>
    <row r="43" spans="2:12" x14ac:dyDescent="0.25">
      <c r="B43" s="66">
        <v>19</v>
      </c>
      <c r="C43" s="66">
        <v>3</v>
      </c>
      <c r="E43" s="23"/>
      <c r="F43" s="23"/>
      <c r="G43" s="23"/>
      <c r="H43" s="23"/>
      <c r="I43" s="23"/>
      <c r="J43" s="23"/>
      <c r="K43" s="23"/>
      <c r="L43" s="23"/>
    </row>
    <row r="44" spans="2:12" x14ac:dyDescent="0.25">
      <c r="B44" s="66">
        <v>20</v>
      </c>
      <c r="C44" s="66">
        <v>9</v>
      </c>
      <c r="E44" s="23"/>
      <c r="F44" s="23"/>
      <c r="G44" s="23"/>
      <c r="H44" s="23"/>
      <c r="I44" s="23"/>
      <c r="J44" s="23"/>
      <c r="K44" s="23"/>
      <c r="L44" s="23"/>
    </row>
    <row r="45" spans="2:12" x14ac:dyDescent="0.25">
      <c r="B45" s="66">
        <v>21</v>
      </c>
      <c r="C45" s="66">
        <v>3</v>
      </c>
      <c r="E45" s="23"/>
      <c r="F45" s="23"/>
      <c r="G45" s="23"/>
      <c r="H45" s="23"/>
      <c r="I45" s="23"/>
      <c r="J45" s="23"/>
      <c r="K45" s="23"/>
      <c r="L45" s="23"/>
    </row>
    <row r="46" spans="2:12" x14ac:dyDescent="0.25">
      <c r="B46" s="66">
        <v>22</v>
      </c>
      <c r="C46" s="66">
        <v>1</v>
      </c>
    </row>
    <row r="47" spans="2:12" x14ac:dyDescent="0.25">
      <c r="B47" s="66">
        <v>23</v>
      </c>
      <c r="C47" s="66">
        <v>1</v>
      </c>
    </row>
    <row r="48" spans="2:12" x14ac:dyDescent="0.25">
      <c r="B48" s="66" t="s">
        <v>33</v>
      </c>
      <c r="C48" s="66">
        <v>45</v>
      </c>
    </row>
    <row r="53" spans="2:14" x14ac:dyDescent="0.25">
      <c r="B53" s="10" t="s">
        <v>44</v>
      </c>
      <c r="C53" s="10"/>
      <c r="D53" s="10"/>
      <c r="E53" s="2"/>
    </row>
    <row r="56" spans="2:14" ht="15.75" x14ac:dyDescent="0.25">
      <c r="B56" s="65" t="s">
        <v>32</v>
      </c>
      <c r="C56" s="66" t="s">
        <v>77</v>
      </c>
      <c r="E56" s="28" t="s">
        <v>78</v>
      </c>
      <c r="G56" s="33"/>
      <c r="H56" s="33"/>
      <c r="I56" s="33"/>
      <c r="J56" s="33"/>
      <c r="K56" s="33"/>
      <c r="L56" s="33"/>
      <c r="M56" s="33"/>
      <c r="N56" s="33"/>
    </row>
    <row r="57" spans="2:14" x14ac:dyDescent="0.25">
      <c r="B57" s="66" t="s">
        <v>54</v>
      </c>
      <c r="C57" s="67">
        <v>1</v>
      </c>
      <c r="E57" s="29">
        <v>8</v>
      </c>
      <c r="G57" s="33"/>
      <c r="H57" s="33"/>
      <c r="I57" s="33"/>
      <c r="J57" s="33"/>
      <c r="K57" s="33"/>
      <c r="L57" s="33"/>
      <c r="M57" s="33"/>
      <c r="N57" s="33"/>
    </row>
    <row r="58" spans="2:14" x14ac:dyDescent="0.25">
      <c r="B58" s="66" t="s">
        <v>55</v>
      </c>
      <c r="C58" s="67">
        <v>2</v>
      </c>
      <c r="E58" s="29">
        <v>8</v>
      </c>
      <c r="G58" s="33"/>
      <c r="H58" s="33"/>
      <c r="I58" s="33"/>
      <c r="J58" s="33"/>
      <c r="K58" s="33"/>
      <c r="L58" s="33"/>
      <c r="M58" s="33"/>
      <c r="N58" s="33"/>
    </row>
    <row r="59" spans="2:14" x14ac:dyDescent="0.25">
      <c r="B59" s="66" t="s">
        <v>56</v>
      </c>
      <c r="C59" s="67">
        <v>1</v>
      </c>
      <c r="E59" s="29">
        <v>5</v>
      </c>
      <c r="G59" s="33"/>
      <c r="H59" s="33"/>
      <c r="I59" s="33"/>
      <c r="J59" s="33"/>
      <c r="K59" s="33"/>
      <c r="L59" s="33"/>
      <c r="M59" s="33"/>
      <c r="N59" s="33"/>
    </row>
    <row r="60" spans="2:14" x14ac:dyDescent="0.25">
      <c r="B60" s="66" t="s">
        <v>57</v>
      </c>
      <c r="C60" s="67">
        <v>1</v>
      </c>
      <c r="E60" s="29">
        <v>4</v>
      </c>
      <c r="G60" s="33"/>
      <c r="H60" s="33"/>
      <c r="I60" s="33"/>
      <c r="J60" s="33"/>
      <c r="K60" s="33"/>
      <c r="L60" s="33"/>
      <c r="M60" s="33"/>
      <c r="N60" s="33"/>
    </row>
    <row r="61" spans="2:14" x14ac:dyDescent="0.25">
      <c r="B61" s="66" t="s">
        <v>58</v>
      </c>
      <c r="C61" s="67">
        <v>1</v>
      </c>
      <c r="E61" s="29">
        <v>4</v>
      </c>
      <c r="G61" s="33"/>
      <c r="H61" s="33"/>
      <c r="I61" s="33"/>
      <c r="J61" s="33"/>
      <c r="K61" s="33"/>
      <c r="L61" s="33"/>
      <c r="M61" s="33"/>
      <c r="N61" s="33"/>
    </row>
    <row r="62" spans="2:14" x14ac:dyDescent="0.25">
      <c r="B62" s="66" t="s">
        <v>59</v>
      </c>
      <c r="C62" s="67">
        <v>3</v>
      </c>
      <c r="E62" s="29">
        <v>9</v>
      </c>
      <c r="G62" s="33"/>
      <c r="H62" s="33"/>
      <c r="I62" s="33"/>
      <c r="J62" s="33"/>
      <c r="K62" s="33"/>
      <c r="L62" s="33"/>
      <c r="M62" s="33"/>
      <c r="N62" s="33"/>
    </row>
    <row r="63" spans="2:14" x14ac:dyDescent="0.25">
      <c r="B63" s="66" t="s">
        <v>60</v>
      </c>
      <c r="C63" s="67">
        <v>3</v>
      </c>
      <c r="E63" s="29">
        <v>4</v>
      </c>
      <c r="G63" s="33"/>
      <c r="H63" s="33"/>
      <c r="I63" s="33"/>
      <c r="J63" s="33"/>
      <c r="K63" s="33"/>
      <c r="L63" s="33"/>
      <c r="M63" s="33"/>
      <c r="N63" s="33"/>
    </row>
    <row r="64" spans="2:14" x14ac:dyDescent="0.25">
      <c r="B64" s="66" t="s">
        <v>61</v>
      </c>
      <c r="C64" s="67">
        <v>2</v>
      </c>
      <c r="G64" s="33"/>
      <c r="H64" s="33"/>
      <c r="I64" s="33"/>
      <c r="J64" s="33"/>
      <c r="K64" s="33"/>
      <c r="L64" s="33"/>
      <c r="M64" s="33"/>
      <c r="N64" s="33"/>
    </row>
    <row r="65" spans="2:14" x14ac:dyDescent="0.25">
      <c r="B65" s="66" t="s">
        <v>62</v>
      </c>
      <c r="C65" s="67">
        <v>4</v>
      </c>
      <c r="G65" s="33"/>
      <c r="H65" s="33"/>
      <c r="I65" s="33"/>
      <c r="J65" s="33"/>
      <c r="K65" s="33"/>
      <c r="L65" s="33"/>
      <c r="M65" s="33"/>
      <c r="N65" s="33"/>
    </row>
    <row r="66" spans="2:14" x14ac:dyDescent="0.25">
      <c r="B66" s="66" t="s">
        <v>63</v>
      </c>
      <c r="C66" s="67">
        <v>2</v>
      </c>
    </row>
    <row r="67" spans="2:14" x14ac:dyDescent="0.25">
      <c r="B67" s="66" t="s">
        <v>64</v>
      </c>
      <c r="C67" s="67">
        <v>1</v>
      </c>
    </row>
    <row r="68" spans="2:14" x14ac:dyDescent="0.25">
      <c r="B68" s="66" t="s">
        <v>65</v>
      </c>
      <c r="C68" s="67">
        <v>2</v>
      </c>
    </row>
    <row r="69" spans="2:14" x14ac:dyDescent="0.25">
      <c r="B69" s="66" t="s">
        <v>66</v>
      </c>
      <c r="C69" s="67">
        <v>3</v>
      </c>
    </row>
    <row r="70" spans="2:14" x14ac:dyDescent="0.25">
      <c r="B70" s="66" t="s">
        <v>67</v>
      </c>
      <c r="C70" s="67">
        <v>2</v>
      </c>
    </row>
    <row r="71" spans="2:14" x14ac:dyDescent="0.25">
      <c r="B71" s="66" t="s">
        <v>68</v>
      </c>
      <c r="C71" s="67">
        <v>1</v>
      </c>
    </row>
    <row r="72" spans="2:14" x14ac:dyDescent="0.25">
      <c r="B72" s="66" t="s">
        <v>69</v>
      </c>
      <c r="C72" s="67">
        <v>3</v>
      </c>
    </row>
    <row r="73" spans="2:14" x14ac:dyDescent="0.25">
      <c r="B73" s="66" t="s">
        <v>70</v>
      </c>
      <c r="C73" s="67">
        <v>3</v>
      </c>
    </row>
    <row r="74" spans="2:14" x14ac:dyDescent="0.25">
      <c r="B74" s="66" t="s">
        <v>71</v>
      </c>
      <c r="C74" s="67">
        <v>1</v>
      </c>
    </row>
    <row r="75" spans="2:14" x14ac:dyDescent="0.25">
      <c r="B75" s="66" t="s">
        <v>72</v>
      </c>
      <c r="C75" s="67">
        <v>1</v>
      </c>
    </row>
    <row r="76" spans="2:14" x14ac:dyDescent="0.25">
      <c r="B76" s="66" t="s">
        <v>73</v>
      </c>
      <c r="C76" s="67">
        <v>2</v>
      </c>
    </row>
    <row r="77" spans="2:14" x14ac:dyDescent="0.25">
      <c r="B77" s="66" t="s">
        <v>74</v>
      </c>
      <c r="C77" s="67">
        <v>4</v>
      </c>
    </row>
    <row r="78" spans="2:14" x14ac:dyDescent="0.25">
      <c r="B78" s="66" t="s">
        <v>75</v>
      </c>
      <c r="C78" s="67">
        <v>1</v>
      </c>
    </row>
    <row r="79" spans="2:14" x14ac:dyDescent="0.25">
      <c r="B79" s="66" t="s">
        <v>76</v>
      </c>
      <c r="C79" s="67">
        <v>1</v>
      </c>
    </row>
    <row r="80" spans="2:14" x14ac:dyDescent="0.25">
      <c r="B80" s="66" t="s">
        <v>33</v>
      </c>
      <c r="C80" s="67">
        <v>45</v>
      </c>
    </row>
    <row r="84" spans="2:6" x14ac:dyDescent="0.25">
      <c r="B84" s="10" t="s">
        <v>79</v>
      </c>
      <c r="C84" s="10"/>
      <c r="D84" s="10"/>
      <c r="E84" s="10"/>
      <c r="F84" s="10"/>
    </row>
    <row r="86" spans="2:6" x14ac:dyDescent="0.25">
      <c r="B86" s="39"/>
      <c r="C86" s="39" t="s">
        <v>89</v>
      </c>
      <c r="E86" t="s">
        <v>81</v>
      </c>
    </row>
    <row r="89" spans="2:6" x14ac:dyDescent="0.25">
      <c r="B89" s="10" t="s">
        <v>82</v>
      </c>
      <c r="C89" s="10"/>
      <c r="D89" s="10"/>
      <c r="E89" s="10"/>
    </row>
    <row r="115" spans="2:7" ht="18.75" x14ac:dyDescent="0.3">
      <c r="B115" s="57" t="s">
        <v>83</v>
      </c>
      <c r="C115" s="57"/>
      <c r="D115" s="57"/>
      <c r="E115" s="57"/>
      <c r="F115" s="10"/>
      <c r="G115" s="10"/>
    </row>
    <row r="116" spans="2:7" x14ac:dyDescent="0.25">
      <c r="B116" t="s">
        <v>46</v>
      </c>
    </row>
    <row r="117" spans="2:7" x14ac:dyDescent="0.25">
      <c r="B117" s="43">
        <v>0.15555555555555556</v>
      </c>
    </row>
    <row r="118" spans="2:7" x14ac:dyDescent="0.25">
      <c r="B118" s="43">
        <v>0.15909090909090909</v>
      </c>
    </row>
    <row r="119" spans="2:7" x14ac:dyDescent="0.25">
      <c r="B119" s="43">
        <v>0.16279069767441862</v>
      </c>
    </row>
    <row r="120" spans="2:7" x14ac:dyDescent="0.25">
      <c r="B120" s="43">
        <v>0.14285714285714285</v>
      </c>
    </row>
    <row r="121" spans="2:7" x14ac:dyDescent="0.25">
      <c r="B121" s="43">
        <v>0.14634146341463414</v>
      </c>
    </row>
    <row r="122" spans="2:7" x14ac:dyDescent="0.25">
      <c r="B122" s="43">
        <v>0.15</v>
      </c>
    </row>
    <row r="123" spans="2:7" x14ac:dyDescent="0.25">
      <c r="B123" s="43">
        <v>0.15384615384615385</v>
      </c>
    </row>
    <row r="124" spans="2:7" x14ac:dyDescent="0.25">
      <c r="B124" s="43">
        <v>0.13157894736842105</v>
      </c>
    </row>
    <row r="125" spans="2:7" x14ac:dyDescent="0.25">
      <c r="B125" s="43">
        <v>0.13513513513513514</v>
      </c>
    </row>
    <row r="126" spans="2:7" x14ac:dyDescent="0.25">
      <c r="B126" s="43">
        <v>0.1111111111111111</v>
      </c>
    </row>
    <row r="127" spans="2:7" x14ac:dyDescent="0.25">
      <c r="B127" s="43">
        <v>0.11428571428571428</v>
      </c>
    </row>
    <row r="128" spans="2:7" x14ac:dyDescent="0.25">
      <c r="B128" s="43">
        <v>0.11764705882352941</v>
      </c>
    </row>
    <row r="129" spans="2:2" x14ac:dyDescent="0.25">
      <c r="B129" s="43">
        <v>0.12121212121212122</v>
      </c>
    </row>
    <row r="130" spans="2:2" x14ac:dyDescent="0.25">
      <c r="B130" s="43">
        <v>0.125</v>
      </c>
    </row>
    <row r="131" spans="2:2" x14ac:dyDescent="0.25">
      <c r="B131" s="43">
        <v>0.12903225806451613</v>
      </c>
    </row>
    <row r="132" spans="2:2" x14ac:dyDescent="0.25">
      <c r="B132" s="43">
        <v>0.13333333333333333</v>
      </c>
    </row>
    <row r="133" spans="2:2" x14ac:dyDescent="0.25">
      <c r="B133" s="43">
        <v>0.13793103448275862</v>
      </c>
    </row>
    <row r="134" spans="2:2" x14ac:dyDescent="0.25">
      <c r="B134" s="43">
        <v>0.14285714285714285</v>
      </c>
    </row>
    <row r="135" spans="2:2" x14ac:dyDescent="0.25">
      <c r="B135" s="43">
        <v>0.14814814814814814</v>
      </c>
    </row>
    <row r="136" spans="2:2" x14ac:dyDescent="0.25">
      <c r="B136" s="43">
        <v>0.15384615384615385</v>
      </c>
    </row>
    <row r="137" spans="2:2" x14ac:dyDescent="0.25">
      <c r="B137" s="43">
        <v>0.16</v>
      </c>
    </row>
    <row r="138" spans="2:2" x14ac:dyDescent="0.25">
      <c r="B138" s="43">
        <v>0.125</v>
      </c>
    </row>
    <row r="139" spans="2:2" x14ac:dyDescent="0.25">
      <c r="B139" s="43">
        <v>0.13043478260869565</v>
      </c>
    </row>
    <row r="140" spans="2:2" x14ac:dyDescent="0.25">
      <c r="B140" s="43">
        <v>0.13636363636363635</v>
      </c>
    </row>
    <row r="141" spans="2:2" x14ac:dyDescent="0.25">
      <c r="B141" s="43">
        <v>0.14285714285714285</v>
      </c>
    </row>
    <row r="142" spans="2:2" x14ac:dyDescent="0.25">
      <c r="B142" s="43">
        <v>0.15</v>
      </c>
    </row>
    <row r="143" spans="2:2" x14ac:dyDescent="0.25">
      <c r="B143" s="43">
        <v>0.15789473684210525</v>
      </c>
    </row>
    <row r="144" spans="2:2" x14ac:dyDescent="0.25">
      <c r="B144" s="43">
        <v>0.16666666666666666</v>
      </c>
    </row>
    <row r="145" spans="2:2" x14ac:dyDescent="0.25">
      <c r="B145" s="43">
        <v>0.17647058823529413</v>
      </c>
    </row>
    <row r="146" spans="2:2" x14ac:dyDescent="0.25">
      <c r="B146" s="43">
        <v>0.1875</v>
      </c>
    </row>
    <row r="147" spans="2:2" x14ac:dyDescent="0.25">
      <c r="B147" s="43">
        <v>0.2</v>
      </c>
    </row>
    <row r="148" spans="2:2" x14ac:dyDescent="0.25">
      <c r="B148" s="43">
        <v>0.21428571428571427</v>
      </c>
    </row>
    <row r="149" spans="2:2" x14ac:dyDescent="0.25">
      <c r="B149" s="43">
        <v>0.23076923076923078</v>
      </c>
    </row>
    <row r="150" spans="2:2" x14ac:dyDescent="0.25">
      <c r="B150" s="43">
        <v>0.25</v>
      </c>
    </row>
    <row r="151" spans="2:2" x14ac:dyDescent="0.25">
      <c r="B151" s="43">
        <v>0.27272727272727271</v>
      </c>
    </row>
    <row r="152" spans="2:2" x14ac:dyDescent="0.25">
      <c r="B152" s="44">
        <v>0.3</v>
      </c>
    </row>
    <row r="153" spans="2:2" x14ac:dyDescent="0.25">
      <c r="B153" s="44">
        <v>0.33333333333333331</v>
      </c>
    </row>
    <row r="154" spans="2:2" x14ac:dyDescent="0.25">
      <c r="B154" s="43">
        <v>0.25</v>
      </c>
    </row>
    <row r="155" spans="2:2" x14ac:dyDescent="0.25">
      <c r="B155" s="43">
        <v>0.2857142857142857</v>
      </c>
    </row>
    <row r="156" spans="2:2" x14ac:dyDescent="0.25">
      <c r="B156" s="44">
        <v>0.33333333333333331</v>
      </c>
    </row>
    <row r="157" spans="2:2" x14ac:dyDescent="0.25">
      <c r="B157" s="44">
        <v>0.4</v>
      </c>
    </row>
    <row r="158" spans="2:2" x14ac:dyDescent="0.25">
      <c r="B158" s="43">
        <v>0.25</v>
      </c>
    </row>
    <row r="159" spans="2:2" x14ac:dyDescent="0.25">
      <c r="B159" s="43">
        <v>0</v>
      </c>
    </row>
    <row r="162" spans="2:5" ht="18.75" x14ac:dyDescent="0.3">
      <c r="B162" s="57" t="s">
        <v>84</v>
      </c>
      <c r="C162" s="57"/>
      <c r="D162" s="57"/>
      <c r="E162" s="57"/>
    </row>
    <row r="182" spans="2:10" ht="18.75" x14ac:dyDescent="0.3">
      <c r="B182" s="57" t="s">
        <v>85</v>
      </c>
      <c r="C182" s="57"/>
      <c r="D182" s="57"/>
      <c r="E182" s="57"/>
      <c r="F182" s="2"/>
    </row>
    <row r="184" spans="2:10" x14ac:dyDescent="0.25">
      <c r="B184" s="65" t="s">
        <v>32</v>
      </c>
      <c r="C184" s="66" t="s">
        <v>93</v>
      </c>
    </row>
    <row r="185" spans="2:10" x14ac:dyDescent="0.25">
      <c r="B185" s="66" t="s">
        <v>53</v>
      </c>
      <c r="C185" s="67">
        <v>56.699999998323619</v>
      </c>
    </row>
    <row r="186" spans="2:10" x14ac:dyDescent="0.25">
      <c r="B186" s="66" t="s">
        <v>47</v>
      </c>
      <c r="C186" s="67">
        <v>67.577083333017072</v>
      </c>
      <c r="E186" s="33"/>
      <c r="F186" s="33"/>
      <c r="G186" s="33"/>
      <c r="H186" s="33"/>
      <c r="I186" s="33"/>
      <c r="J186" s="33"/>
    </row>
    <row r="187" spans="2:10" x14ac:dyDescent="0.25">
      <c r="B187" s="66" t="s">
        <v>48</v>
      </c>
      <c r="C187" s="67">
        <v>44.431249996705446</v>
      </c>
      <c r="E187" s="33"/>
      <c r="F187" s="33"/>
      <c r="G187" s="33"/>
      <c r="H187" s="33"/>
      <c r="I187" s="33"/>
      <c r="J187" s="33"/>
    </row>
    <row r="188" spans="2:10" x14ac:dyDescent="0.25">
      <c r="B188" s="66" t="s">
        <v>49</v>
      </c>
      <c r="C188" s="67">
        <v>36.586666667601094</v>
      </c>
      <c r="E188" s="33"/>
      <c r="F188" s="33"/>
      <c r="G188" s="33"/>
      <c r="H188" s="33"/>
      <c r="I188" s="33"/>
      <c r="J188" s="33"/>
    </row>
    <row r="189" spans="2:10" x14ac:dyDescent="0.25">
      <c r="B189" s="66" t="s">
        <v>50</v>
      </c>
      <c r="C189" s="67">
        <v>39.936666664900258</v>
      </c>
      <c r="E189" s="33"/>
      <c r="F189" s="33"/>
      <c r="G189" s="33"/>
      <c r="H189" s="33"/>
      <c r="I189" s="33"/>
      <c r="J189" s="33"/>
    </row>
    <row r="190" spans="2:10" x14ac:dyDescent="0.25">
      <c r="B190" s="66" t="s">
        <v>51</v>
      </c>
      <c r="C190" s="67">
        <v>53.150000000372529</v>
      </c>
      <c r="E190" s="33"/>
      <c r="F190" s="33"/>
      <c r="G190" s="33"/>
      <c r="H190" s="33"/>
      <c r="I190" s="33"/>
      <c r="J190" s="33"/>
    </row>
    <row r="191" spans="2:10" x14ac:dyDescent="0.25">
      <c r="B191" s="66" t="s">
        <v>52</v>
      </c>
      <c r="C191" s="67">
        <v>53.294444446219131</v>
      </c>
      <c r="E191" s="33"/>
      <c r="F191" s="33"/>
      <c r="G191" s="33"/>
      <c r="H191" s="33"/>
      <c r="I191" s="33"/>
      <c r="J191" s="33"/>
    </row>
    <row r="192" spans="2:10" x14ac:dyDescent="0.25">
      <c r="B192" s="66" t="s">
        <v>33</v>
      </c>
      <c r="C192" s="67">
        <v>51.27962962910533</v>
      </c>
    </row>
    <row r="196" spans="2:9" ht="18.75" x14ac:dyDescent="0.3">
      <c r="B196" s="57" t="s">
        <v>86</v>
      </c>
      <c r="C196" s="57"/>
      <c r="D196" s="57"/>
      <c r="E196" s="57"/>
    </row>
    <row r="199" spans="2:9" x14ac:dyDescent="0.25">
      <c r="C199" s="65" t="s">
        <v>32</v>
      </c>
      <c r="D199" s="66" t="s">
        <v>38</v>
      </c>
      <c r="F199" s="33"/>
      <c r="G199" s="33"/>
      <c r="H199" s="33"/>
      <c r="I199" s="33"/>
    </row>
    <row r="200" spans="2:9" x14ac:dyDescent="0.25">
      <c r="C200" s="66" t="s">
        <v>27</v>
      </c>
      <c r="D200" s="67">
        <v>72.62499999972836</v>
      </c>
      <c r="F200" s="33"/>
      <c r="G200" s="33"/>
      <c r="H200" s="33"/>
      <c r="I200" s="33"/>
    </row>
    <row r="201" spans="2:9" x14ac:dyDescent="0.25">
      <c r="C201" s="66" t="s">
        <v>18</v>
      </c>
      <c r="D201" s="67">
        <v>64.166666665987577</v>
      </c>
      <c r="F201" s="33"/>
      <c r="G201" s="33"/>
      <c r="H201" s="33"/>
      <c r="I201" s="33"/>
    </row>
    <row r="202" spans="2:9" x14ac:dyDescent="0.25">
      <c r="C202" s="66" t="s">
        <v>13</v>
      </c>
      <c r="D202" s="67">
        <v>61.23379628843395</v>
      </c>
      <c r="F202" s="33"/>
      <c r="G202" s="33"/>
      <c r="H202" s="33"/>
      <c r="I202" s="33"/>
    </row>
    <row r="203" spans="2:9" x14ac:dyDescent="0.25">
      <c r="C203" s="66" t="s">
        <v>21</v>
      </c>
      <c r="D203" s="67">
        <v>53.765509259683313</v>
      </c>
      <c r="F203" s="33"/>
      <c r="G203" s="33"/>
      <c r="H203" s="33"/>
      <c r="I203" s="33"/>
    </row>
    <row r="204" spans="2:9" x14ac:dyDescent="0.25">
      <c r="C204" s="66" t="s">
        <v>15</v>
      </c>
      <c r="D204" s="67">
        <v>46.859864671401176</v>
      </c>
      <c r="F204" s="33"/>
      <c r="G204" s="33"/>
      <c r="H204" s="33"/>
      <c r="I204" s="33"/>
    </row>
    <row r="205" spans="2:9" x14ac:dyDescent="0.25">
      <c r="C205" s="66" t="s">
        <v>33</v>
      </c>
      <c r="D205" s="67">
        <v>54.586733216956418</v>
      </c>
    </row>
  </sheetData>
  <mergeCells count="7">
    <mergeCell ref="E186:J191"/>
    <mergeCell ref="F199:I204"/>
    <mergeCell ref="F4:G5"/>
    <mergeCell ref="E35:L45"/>
    <mergeCell ref="I4:P11"/>
    <mergeCell ref="E21:J26"/>
    <mergeCell ref="G56:N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01C2-70FE-4311-94C6-571F2645B0C7}">
  <sheetPr>
    <tabColor theme="9" tint="0.39997558519241921"/>
  </sheetPr>
  <dimension ref="B2:M140"/>
  <sheetViews>
    <sheetView tabSelected="1" topLeftCell="A127" workbookViewId="0">
      <selection activeCell="E143" sqref="E143"/>
    </sheetView>
  </sheetViews>
  <sheetFormatPr defaultRowHeight="15" x14ac:dyDescent="0.25"/>
  <cols>
    <col min="3" max="4" width="13.140625" bestFit="1" customWidth="1"/>
    <col min="5" max="5" width="32.85546875" bestFit="1" customWidth="1"/>
  </cols>
  <sheetData>
    <row r="2" spans="2:11" ht="18.75" x14ac:dyDescent="0.3">
      <c r="B2" s="57" t="s">
        <v>94</v>
      </c>
      <c r="C2" s="57"/>
      <c r="D2" s="57"/>
      <c r="E2" s="57"/>
      <c r="F2" s="57"/>
      <c r="G2" s="57"/>
      <c r="H2" s="57"/>
      <c r="I2" s="57"/>
      <c r="J2" s="2"/>
      <c r="K2" s="2"/>
    </row>
    <row r="4" spans="2:11" x14ac:dyDescent="0.25">
      <c r="C4" s="65" t="s">
        <v>32</v>
      </c>
      <c r="D4" s="66" t="s">
        <v>38</v>
      </c>
    </row>
    <row r="5" spans="2:11" x14ac:dyDescent="0.25">
      <c r="C5" s="66">
        <v>3</v>
      </c>
      <c r="D5" s="67">
        <v>25.699074071599171</v>
      </c>
    </row>
    <row r="6" spans="2:11" x14ac:dyDescent="0.25">
      <c r="C6" s="66" t="s">
        <v>95</v>
      </c>
      <c r="D6" s="67">
        <v>30.30092592962319</v>
      </c>
    </row>
    <row r="7" spans="2:11" x14ac:dyDescent="0.25">
      <c r="C7" s="66">
        <v>4</v>
      </c>
      <c r="D7" s="67">
        <v>36.831018517356519</v>
      </c>
    </row>
    <row r="8" spans="2:11" x14ac:dyDescent="0.25">
      <c r="C8" s="66">
        <v>2</v>
      </c>
      <c r="D8" s="67">
        <v>42.167438270634094</v>
      </c>
    </row>
    <row r="9" spans="2:11" x14ac:dyDescent="0.25">
      <c r="C9" s="66">
        <v>5</v>
      </c>
      <c r="D9" s="67">
        <v>46.73148148576729</v>
      </c>
    </row>
    <row r="10" spans="2:11" x14ac:dyDescent="0.25">
      <c r="C10" s="66">
        <v>1</v>
      </c>
      <c r="D10" s="67">
        <v>55.025077159953071</v>
      </c>
    </row>
    <row r="11" spans="2:11" x14ac:dyDescent="0.25">
      <c r="C11" s="66" t="s">
        <v>33</v>
      </c>
      <c r="D11" s="67">
        <v>49.855195472741293</v>
      </c>
    </row>
    <row r="15" spans="2:11" ht="18.75" x14ac:dyDescent="0.3">
      <c r="B15" s="57" t="s">
        <v>96</v>
      </c>
      <c r="C15" s="57"/>
      <c r="D15" s="57"/>
      <c r="E15" s="2"/>
    </row>
    <row r="18" spans="2:13" x14ac:dyDescent="0.25">
      <c r="C18" s="65" t="s">
        <v>32</v>
      </c>
      <c r="D18" s="66" t="s">
        <v>97</v>
      </c>
    </row>
    <row r="19" spans="2:13" x14ac:dyDescent="0.25">
      <c r="C19" s="66">
        <v>1</v>
      </c>
      <c r="D19" s="67">
        <v>3287.4444444444443</v>
      </c>
    </row>
    <row r="20" spans="2:13" x14ac:dyDescent="0.25">
      <c r="C20" s="66">
        <v>2</v>
      </c>
      <c r="D20" s="67">
        <v>2630.3333333333335</v>
      </c>
    </row>
    <row r="21" spans="2:13" x14ac:dyDescent="0.25">
      <c r="C21" s="66">
        <v>3</v>
      </c>
      <c r="D21" s="67">
        <v>3785.5</v>
      </c>
    </row>
    <row r="22" spans="2:13" x14ac:dyDescent="0.25">
      <c r="C22" s="66">
        <v>4</v>
      </c>
      <c r="D22" s="67">
        <v>6001.333333333333</v>
      </c>
    </row>
    <row r="23" spans="2:13" x14ac:dyDescent="0.25">
      <c r="C23" s="66" t="s">
        <v>33</v>
      </c>
      <c r="D23" s="67">
        <v>3557.3777777777777</v>
      </c>
    </row>
    <row r="28" spans="2:13" ht="18.75" x14ac:dyDescent="0.3">
      <c r="B28" s="57" t="s">
        <v>100</v>
      </c>
      <c r="C28" s="57"/>
      <c r="D28" s="57"/>
      <c r="E28" s="57"/>
      <c r="F28" s="57"/>
      <c r="G28" s="57"/>
      <c r="H28" s="57"/>
      <c r="I28" s="57"/>
      <c r="J28" s="2"/>
      <c r="K28" s="2"/>
      <c r="M28" t="s">
        <v>104</v>
      </c>
    </row>
    <row r="41" spans="2:2" x14ac:dyDescent="0.25">
      <c r="B41" t="s">
        <v>105</v>
      </c>
    </row>
    <row r="77" spans="3:9" ht="18.75" x14ac:dyDescent="0.3">
      <c r="C77" s="57" t="s">
        <v>106</v>
      </c>
      <c r="D77" s="57"/>
      <c r="E77" s="57"/>
      <c r="F77" s="57"/>
      <c r="G77" s="57"/>
      <c r="H77" s="57"/>
      <c r="I77" s="73"/>
    </row>
    <row r="80" spans="3:9" x14ac:dyDescent="0.25">
      <c r="D80" s="25" t="s">
        <v>32</v>
      </c>
      <c r="E80" s="27" t="s">
        <v>38</v>
      </c>
    </row>
    <row r="81" spans="4:5" x14ac:dyDescent="0.25">
      <c r="D81" s="26" t="s">
        <v>53</v>
      </c>
      <c r="E81" s="30">
        <v>55.124999998370185</v>
      </c>
    </row>
    <row r="82" spans="4:5" x14ac:dyDescent="0.25">
      <c r="D82" s="26" t="s">
        <v>47</v>
      </c>
      <c r="E82" s="30">
        <v>65.699942129322153</v>
      </c>
    </row>
    <row r="83" spans="4:5" x14ac:dyDescent="0.25">
      <c r="D83" s="26" t="s">
        <v>48</v>
      </c>
      <c r="E83" s="30">
        <v>43.197048607908073</v>
      </c>
    </row>
    <row r="84" spans="4:5" x14ac:dyDescent="0.25">
      <c r="D84" s="26" t="s">
        <v>49</v>
      </c>
      <c r="E84" s="30">
        <v>35.570370371278841</v>
      </c>
    </row>
    <row r="85" spans="4:5" x14ac:dyDescent="0.25">
      <c r="D85" s="26" t="s">
        <v>50</v>
      </c>
      <c r="E85" s="30">
        <v>38.827314813097473</v>
      </c>
    </row>
    <row r="86" spans="4:5" x14ac:dyDescent="0.25">
      <c r="D86" s="26" t="s">
        <v>51</v>
      </c>
      <c r="E86" s="30">
        <v>51.673611111473292</v>
      </c>
    </row>
    <row r="87" spans="4:5" x14ac:dyDescent="0.25">
      <c r="D87" s="26" t="s">
        <v>52</v>
      </c>
      <c r="E87" s="30">
        <v>51.814043211601934</v>
      </c>
    </row>
    <row r="88" spans="4:5" x14ac:dyDescent="0.25">
      <c r="D88" s="26" t="s">
        <v>33</v>
      </c>
      <c r="E88" s="30">
        <v>49.855195472741293</v>
      </c>
    </row>
    <row r="98" spans="3:6" ht="18.75" x14ac:dyDescent="0.3">
      <c r="C98" s="57" t="s">
        <v>107</v>
      </c>
      <c r="D98" s="57"/>
      <c r="E98" s="57"/>
      <c r="F98" s="57"/>
    </row>
    <row r="100" spans="3:6" x14ac:dyDescent="0.25">
      <c r="D100" s="76" t="s">
        <v>109</v>
      </c>
      <c r="E100" s="77" t="s">
        <v>97</v>
      </c>
    </row>
    <row r="101" spans="3:6" x14ac:dyDescent="0.25">
      <c r="D101" s="66">
        <v>0</v>
      </c>
      <c r="E101" s="67">
        <v>1599</v>
      </c>
    </row>
    <row r="102" spans="3:6" x14ac:dyDescent="0.25">
      <c r="D102" s="66">
        <v>70</v>
      </c>
      <c r="E102" s="67">
        <v>7870</v>
      </c>
    </row>
    <row r="103" spans="3:6" x14ac:dyDescent="0.25">
      <c r="D103" s="66">
        <v>75</v>
      </c>
      <c r="E103" s="67">
        <v>1725</v>
      </c>
    </row>
    <row r="104" spans="3:6" x14ac:dyDescent="0.25">
      <c r="D104" s="66">
        <v>95</v>
      </c>
      <c r="E104" s="67">
        <v>595</v>
      </c>
    </row>
    <row r="105" spans="3:6" x14ac:dyDescent="0.25">
      <c r="D105" s="66">
        <v>250</v>
      </c>
      <c r="E105" s="67">
        <v>1285</v>
      </c>
    </row>
    <row r="106" spans="3:6" x14ac:dyDescent="0.25">
      <c r="D106" s="66">
        <v>300</v>
      </c>
      <c r="E106" s="67">
        <v>3631.25</v>
      </c>
    </row>
    <row r="107" spans="3:6" x14ac:dyDescent="0.25">
      <c r="D107" s="66">
        <v>400</v>
      </c>
      <c r="E107" s="67">
        <v>3900</v>
      </c>
    </row>
    <row r="108" spans="3:6" x14ac:dyDescent="0.25">
      <c r="D108" s="66">
        <v>500</v>
      </c>
      <c r="E108" s="67">
        <v>3000</v>
      </c>
    </row>
    <row r="109" spans="3:6" x14ac:dyDescent="0.25">
      <c r="D109" s="66">
        <v>550</v>
      </c>
      <c r="E109" s="67">
        <v>950</v>
      </c>
    </row>
    <row r="110" spans="3:6" x14ac:dyDescent="0.25">
      <c r="D110" s="66">
        <v>620</v>
      </c>
      <c r="E110" s="67">
        <v>1765</v>
      </c>
    </row>
    <row r="111" spans="3:6" x14ac:dyDescent="0.25">
      <c r="D111" s="66">
        <v>630</v>
      </c>
      <c r="E111" s="67">
        <v>2015</v>
      </c>
    </row>
    <row r="112" spans="3:6" x14ac:dyDescent="0.25">
      <c r="D112" s="66">
        <v>675</v>
      </c>
      <c r="E112" s="67">
        <v>3490</v>
      </c>
    </row>
    <row r="113" spans="4:5" x14ac:dyDescent="0.25">
      <c r="D113" s="66">
        <v>682</v>
      </c>
      <c r="E113" s="67">
        <v>3441</v>
      </c>
    </row>
    <row r="114" spans="4:5" x14ac:dyDescent="0.25">
      <c r="D114" s="66">
        <v>700</v>
      </c>
      <c r="E114" s="67">
        <v>3400</v>
      </c>
    </row>
    <row r="115" spans="4:5" x14ac:dyDescent="0.25">
      <c r="D115" s="66">
        <v>725</v>
      </c>
      <c r="E115" s="67">
        <v>1425</v>
      </c>
    </row>
    <row r="116" spans="4:5" x14ac:dyDescent="0.25">
      <c r="D116" s="66">
        <v>770</v>
      </c>
      <c r="E116" s="67">
        <v>3620</v>
      </c>
    </row>
    <row r="117" spans="4:5" x14ac:dyDescent="0.25">
      <c r="D117" s="66">
        <v>784</v>
      </c>
      <c r="E117" s="67">
        <v>4771</v>
      </c>
    </row>
    <row r="118" spans="4:5" x14ac:dyDescent="0.25">
      <c r="D118" s="66">
        <v>900</v>
      </c>
      <c r="E118" s="67">
        <v>4137.5</v>
      </c>
    </row>
    <row r="119" spans="4:5" x14ac:dyDescent="0.25">
      <c r="D119" s="66">
        <v>1000</v>
      </c>
      <c r="E119" s="67">
        <v>3000</v>
      </c>
    </row>
    <row r="120" spans="4:5" x14ac:dyDescent="0.25">
      <c r="D120" s="66">
        <v>1050</v>
      </c>
      <c r="E120" s="67">
        <v>4850</v>
      </c>
    </row>
    <row r="121" spans="4:5" x14ac:dyDescent="0.25">
      <c r="D121" s="66">
        <v>1200</v>
      </c>
      <c r="E121" s="67">
        <v>6200</v>
      </c>
    </row>
    <row r="122" spans="4:5" x14ac:dyDescent="0.25">
      <c r="D122" s="66">
        <v>1300</v>
      </c>
      <c r="E122" s="67">
        <v>5800</v>
      </c>
    </row>
    <row r="123" spans="4:5" x14ac:dyDescent="0.25">
      <c r="D123" s="66">
        <v>1440</v>
      </c>
      <c r="E123" s="67">
        <v>7104</v>
      </c>
    </row>
    <row r="124" spans="4:5" x14ac:dyDescent="0.25">
      <c r="D124" s="66">
        <v>1500</v>
      </c>
      <c r="E124" s="67">
        <v>3900</v>
      </c>
    </row>
    <row r="125" spans="4:5" x14ac:dyDescent="0.25">
      <c r="D125" s="66">
        <v>1600</v>
      </c>
      <c r="E125" s="67">
        <v>5400</v>
      </c>
    </row>
    <row r="126" spans="4:5" x14ac:dyDescent="0.25">
      <c r="D126" s="66">
        <v>1663</v>
      </c>
      <c r="E126" s="67">
        <v>4986</v>
      </c>
    </row>
    <row r="127" spans="4:5" x14ac:dyDescent="0.25">
      <c r="D127" s="66">
        <v>2700</v>
      </c>
      <c r="E127" s="67">
        <v>14900</v>
      </c>
    </row>
    <row r="128" spans="4:5" x14ac:dyDescent="0.25">
      <c r="D128" s="66" t="s">
        <v>33</v>
      </c>
      <c r="E128" s="67">
        <v>3557.3777777777777</v>
      </c>
    </row>
    <row r="134" spans="3:3" x14ac:dyDescent="0.25">
      <c r="C134" t="s">
        <v>110</v>
      </c>
    </row>
    <row r="136" spans="3:3" x14ac:dyDescent="0.25">
      <c r="C136" t="s">
        <v>111</v>
      </c>
    </row>
    <row r="138" spans="3:3" x14ac:dyDescent="0.25">
      <c r="C138" t="s">
        <v>112</v>
      </c>
    </row>
    <row r="140" spans="3:3" x14ac:dyDescent="0.25">
      <c r="C140" t="s">
        <v>113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Answers</vt:lpstr>
      <vt:lpstr>Medium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Kulkarni</dc:creator>
  <cp:lastModifiedBy>Amey Kulkarni</cp:lastModifiedBy>
  <dcterms:created xsi:type="dcterms:W3CDTF">2026-06-04T12:40:49Z</dcterms:created>
  <dcterms:modified xsi:type="dcterms:W3CDTF">2026-06-08T16:34:05Z</dcterms:modified>
</cp:coreProperties>
</file>